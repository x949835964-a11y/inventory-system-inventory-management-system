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ientos" sheetId="1" state="visible" r:id="rId3"/>
    <sheet name="Resumen" sheetId="2" state="visible" r:id="rId4"/>
  </sheets>
  <definedNames>
    <definedName function="false" hidden="false" localSheetId="0" name="_xlnm.Print_Titles" vbProcedure="false">Movimientos!$5:$5</definedName>
    <definedName function="false" hidden="true" localSheetId="0" name="_xlnm._FilterDatabase" vbProcedure="false">Movimientos!$A$5:$L$75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<sst xmlns="http://schemas.openxmlformats.org/spreadsheetml/2006/main" count="489" uniqueCount="69">
  <si>
    <t xml:space="preserve">Reporte de movimientos de inventario</t>
  </si>
  <si>
    <t xml:space="preserve">Bodega Don Lucho</t>
  </si>
  <si>
    <t xml:space="preserve">Generado el 15/10/2026 11:50 · Del 01/10/2026 al 15/10/2026</t>
  </si>
  <si>
    <t xml:space="preserve">Fecha</t>
  </si>
  <si>
    <t xml:space="preserve">SKU</t>
  </si>
  <si>
    <t xml:space="preserve">Producto</t>
  </si>
  <si>
    <t xml:space="preserve">Tipo</t>
  </si>
  <si>
    <t xml:space="preserve">Motivo</t>
  </si>
  <si>
    <t xml:space="preserve">Cantidad</t>
  </si>
  <si>
    <t xml:space="preserve">Unidad</t>
  </si>
  <si>
    <t xml:space="preserve">Costo unit. (S/)</t>
  </si>
  <si>
    <t xml:space="preserve">Costo total (S/)</t>
  </si>
  <si>
    <t xml:space="preserve">Saldo</t>
  </si>
  <si>
    <t xml:space="preserve">Usuario</t>
  </si>
  <si>
    <t xml:space="preserve">Observaciones</t>
  </si>
  <si>
    <t xml:space="preserve">ARR-5KG</t>
  </si>
  <si>
    <t xml:space="preserve">Arroz extra Costeño 5 kg</t>
  </si>
  <si>
    <t xml:space="preserve">Entrada</t>
  </si>
  <si>
    <t xml:space="preserve">Compra</t>
  </si>
  <si>
    <t xml:space="preserve">UND</t>
  </si>
  <si>
    <t xml:space="preserve">empleado</t>
  </si>
  <si>
    <t xml:space="preserve">Factura F001-0000</t>
  </si>
  <si>
    <t xml:space="preserve">AZU-1KG</t>
  </si>
  <si>
    <t xml:space="preserve">Azúcar rubia 1 kg</t>
  </si>
  <si>
    <t xml:space="preserve">Salida</t>
  </si>
  <si>
    <t xml:space="preserve">Venta</t>
  </si>
  <si>
    <t xml:space="preserve">admin</t>
  </si>
  <si>
    <t xml:space="preserve">ACE-1L</t>
  </si>
  <si>
    <t xml:space="preserve">Aceite vegetal Primor 1 L</t>
  </si>
  <si>
    <t xml:space="preserve">LEC-400</t>
  </si>
  <si>
    <t xml:space="preserve">Leche evaporada Gloria 400 g &amp; lata &lt;grande&gt;</t>
  </si>
  <si>
    <t xml:space="preserve">Merma</t>
  </si>
  <si>
    <t xml:space="preserve">Producto vencido en almacén</t>
  </si>
  <si>
    <t xml:space="preserve">QUE-FRE</t>
  </si>
  <si>
    <t xml:space="preserve">Queso fresco</t>
  </si>
  <si>
    <t xml:space="preserve">Devolución de cliente</t>
  </si>
  <si>
    <t xml:space="preserve">KG</t>
  </si>
  <si>
    <t xml:space="preserve">Factura F001-0004</t>
  </si>
  <si>
    <t xml:space="preserve">CAB-14</t>
  </si>
  <si>
    <t xml:space="preserve">Cable mellizo N.º 14</t>
  </si>
  <si>
    <t xml:space="preserve">Ajuste de inventario</t>
  </si>
  <si>
    <t xml:space="preserve">M</t>
  </si>
  <si>
    <t xml:space="preserve">MAR-16</t>
  </si>
  <si>
    <t xml:space="preserve">Martillo de uña 16 oz mango de fibra de vidrio antivibración</t>
  </si>
  <si>
    <t xml:space="preserve">DET-1KG</t>
  </si>
  <si>
    <t xml:space="preserve">Detergente Ariel 1 kg</t>
  </si>
  <si>
    <t xml:space="preserve">Factura F001-0008</t>
  </si>
  <si>
    <t xml:space="preserve">Devolución a proveedor</t>
  </si>
  <si>
    <t xml:space="preserve">Factura F001-0012</t>
  </si>
  <si>
    <t xml:space="preserve">Factura F001-0016</t>
  </si>
  <si>
    <t xml:space="preserve">Factura F001-0020</t>
  </si>
  <si>
    <t xml:space="preserve">Factura F001-0024</t>
  </si>
  <si>
    <t xml:space="preserve">Factura F001-0028</t>
  </si>
  <si>
    <t xml:space="preserve">Factura F001-0032</t>
  </si>
  <si>
    <t xml:space="preserve">Factura F001-0036</t>
  </si>
  <si>
    <t xml:space="preserve">Factura F001-0040</t>
  </si>
  <si>
    <t xml:space="preserve">Factura F001-0044</t>
  </si>
  <si>
    <t xml:space="preserve">Factura F001-0048</t>
  </si>
  <si>
    <t xml:space="preserve">Factura F001-0052</t>
  </si>
  <si>
    <t xml:space="preserve">Factura F001-0056</t>
  </si>
  <si>
    <t xml:space="preserve">Factura F001-0060</t>
  </si>
  <si>
    <t xml:space="preserve">Factura F001-0064</t>
  </si>
  <si>
    <t xml:space="preserve">Factura F001-0068</t>
  </si>
  <si>
    <t xml:space="preserve">Total entradas (S/)</t>
  </si>
  <si>
    <t xml:space="preserve">Total salidas (S/)</t>
  </si>
  <si>
    <t xml:space="preserve">Resumen por motivo</t>
  </si>
  <si>
    <t xml:space="preserve">N.º de movimientos</t>
  </si>
  <si>
    <t xml:space="preserve">Valor a costo (S/)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</si>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</sst>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\ hh:mm"/>
    <numFmt numFmtId="166" formatCode="#,##0"/>
    <numFmt numFmtId="167" formatCode="&quot;S/ &quot;#,##0.00"/>
    <numFmt numFmtId="168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C2410C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C241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2410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n">
        <v>46296.375</v>
      </c>
      <c r="B6" s="6" t="s">
        <v>15</v>
      </c>
      <c r="C6" s="6" t="s">
        <v>16</v>
      </c>
      <c r="D6" s="7" t="s">
        <v>17</v>
      </c>
      <c r="E6" s="6" t="s">
        <v>18</v>
      </c>
      <c r="F6" s="8" t="n">
        <v>1</v>
      </c>
      <c r="G6" s="6" t="s">
        <v>19</v>
      </c>
      <c r="H6" s="9" t="n">
        <v>18.5</v>
      </c>
      <c r="I6" s="9" t="n">
        <f aca="false">F6*H6</f>
        <v>18.5</v>
      </c>
      <c r="J6" s="8" t="n">
        <v>20</v>
      </c>
      <c r="K6" s="6" t="s">
        <v>20</v>
      </c>
      <c r="L6" s="10" t="s">
        <v>21</v>
      </c>
    </row>
    <row r="7" customFormat="false" ht="15" hidden="false" customHeight="false" outlineLevel="0" collapsed="false">
      <c r="A7" s="5" t="n">
        <v>46296.5833333333</v>
      </c>
      <c r="B7" s="6" t="s">
        <v>22</v>
      </c>
      <c r="C7" s="6" t="s">
        <v>23</v>
      </c>
      <c r="D7" s="11" t="s">
        <v>24</v>
      </c>
      <c r="E7" s="6" t="s">
        <v>25</v>
      </c>
      <c r="F7" s="8" t="n">
        <v>2</v>
      </c>
      <c r="G7" s="6" t="s">
        <v>19</v>
      </c>
      <c r="H7" s="9" t="n">
        <v>4.1</v>
      </c>
      <c r="I7" s="9" t="n">
        <f aca="false">F7*H7</f>
        <v>8.2</v>
      </c>
      <c r="J7" s="8" t="n">
        <v>21</v>
      </c>
      <c r="K7" s="6" t="s">
        <v>26</v>
      </c>
      <c r="L7" s="10"/>
    </row>
    <row r="8" customFormat="false" ht="15" hidden="false" customHeight="false" outlineLevel="0" collapsed="false">
      <c r="A8" s="5" t="n">
        <v>46296.7916666667</v>
      </c>
      <c r="B8" s="6" t="s">
        <v>27</v>
      </c>
      <c r="C8" s="6" t="s">
        <v>28</v>
      </c>
      <c r="D8" s="11" t="s">
        <v>24</v>
      </c>
      <c r="E8" s="6" t="s">
        <v>25</v>
      </c>
      <c r="F8" s="8" t="n">
        <v>3</v>
      </c>
      <c r="G8" s="6" t="s">
        <v>19</v>
      </c>
      <c r="H8" s="9" t="n">
        <v>9.9</v>
      </c>
      <c r="I8" s="9" t="n">
        <f aca="false">F8*H8</f>
        <v>29.7</v>
      </c>
      <c r="J8" s="8" t="n">
        <v>22</v>
      </c>
      <c r="K8" s="6" t="s">
        <v>20</v>
      </c>
      <c r="L8" s="10"/>
    </row>
    <row r="9" customFormat="false" ht="15" hidden="false" customHeight="false" outlineLevel="0" collapsed="false">
      <c r="A9" s="5" t="n">
        <v>46297</v>
      </c>
      <c r="B9" s="6" t="s">
        <v>29</v>
      </c>
      <c r="C9" s="6" t="s">
        <v>30</v>
      </c>
      <c r="D9" s="11" t="s">
        <v>24</v>
      </c>
      <c r="E9" s="6" t="s">
        <v>31</v>
      </c>
      <c r="F9" s="8" t="n">
        <v>4</v>
      </c>
      <c r="G9" s="6" t="s">
        <v>19</v>
      </c>
      <c r="H9" s="9" t="n">
        <v>3.2</v>
      </c>
      <c r="I9" s="9" t="n">
        <f aca="false">F9*H9</f>
        <v>12.8</v>
      </c>
      <c r="J9" s="8" t="n">
        <v>23</v>
      </c>
      <c r="K9" s="6" t="s">
        <v>26</v>
      </c>
      <c r="L9" s="10" t="s">
        <v>32</v>
      </c>
    </row>
    <row r="10" customFormat="false" ht="15" hidden="false" customHeight="false" outlineLevel="0" collapsed="false">
      <c r="A10" s="5" t="n">
        <v>46297.2083333333</v>
      </c>
      <c r="B10" s="6" t="s">
        <v>33</v>
      </c>
      <c r="C10" s="6" t="s">
        <v>34</v>
      </c>
      <c r="D10" s="7" t="s">
        <v>17</v>
      </c>
      <c r="E10" s="6" t="s">
        <v>35</v>
      </c>
      <c r="F10" s="12" t="n">
        <v>2.5</v>
      </c>
      <c r="G10" s="6" t="s">
        <v>36</v>
      </c>
      <c r="H10" s="9" t="n">
        <v>22</v>
      </c>
      <c r="I10" s="9" t="n">
        <f aca="false">F10*H10</f>
        <v>55</v>
      </c>
      <c r="J10" s="12" t="n">
        <v>24</v>
      </c>
      <c r="K10" s="6" t="s">
        <v>20</v>
      </c>
      <c r="L10" s="10" t="s">
        <v>37</v>
      </c>
    </row>
    <row r="11" customFormat="false" ht="15" hidden="false" customHeight="false" outlineLevel="0" collapsed="false">
      <c r="A11" s="5" t="n">
        <v>46297.4166666667</v>
      </c>
      <c r="B11" s="6" t="s">
        <v>38</v>
      </c>
      <c r="C11" s="6" t="s">
        <v>39</v>
      </c>
      <c r="D11" s="11" t="s">
        <v>24</v>
      </c>
      <c r="E11" s="6" t="s">
        <v>40</v>
      </c>
      <c r="F11" s="12" t="n">
        <v>2.5</v>
      </c>
      <c r="G11" s="6" t="s">
        <v>41</v>
      </c>
      <c r="H11" s="9" t="n">
        <v>2.3</v>
      </c>
      <c r="I11" s="9" t="n">
        <f aca="false">F11*H11</f>
        <v>5.75</v>
      </c>
      <c r="J11" s="12" t="n">
        <v>25</v>
      </c>
      <c r="K11" s="6" t="s">
        <v>26</v>
      </c>
      <c r="L11" s="10"/>
    </row>
    <row r="12" customFormat="false" ht="15" hidden="false" customHeight="false" outlineLevel="0" collapsed="false">
      <c r="A12" s="5" t="n">
        <v>46297.625</v>
      </c>
      <c r="B12" s="6" t="s">
        <v>42</v>
      </c>
      <c r="C12" s="6" t="s">
        <v>43</v>
      </c>
      <c r="D12" s="11" t="s">
        <v>24</v>
      </c>
      <c r="E12" s="6" t="s">
        <v>25</v>
      </c>
      <c r="F12" s="8" t="n">
        <v>1</v>
      </c>
      <c r="G12" s="6" t="s">
        <v>19</v>
      </c>
      <c r="H12" s="9" t="n">
        <v>24</v>
      </c>
      <c r="I12" s="9" t="n">
        <f aca="false">F12*H12</f>
        <v>24</v>
      </c>
      <c r="J12" s="8" t="n">
        <v>26</v>
      </c>
      <c r="K12" s="6" t="s">
        <v>20</v>
      </c>
      <c r="L12" s="10"/>
    </row>
    <row r="13" customFormat="false" ht="15" hidden="false" customHeight="false" outlineLevel="0" collapsed="false">
      <c r="A13" s="5" t="n">
        <v>46297.8333333333</v>
      </c>
      <c r="B13" s="6" t="s">
        <v>44</v>
      </c>
      <c r="C13" s="6" t="s">
        <v>45</v>
      </c>
      <c r="D13" s="11" t="s">
        <v>24</v>
      </c>
      <c r="E13" s="6" t="s">
        <v>25</v>
      </c>
      <c r="F13" s="8" t="n">
        <v>2</v>
      </c>
      <c r="G13" s="6" t="s">
        <v>19</v>
      </c>
      <c r="H13" s="9" t="n">
        <v>12.4</v>
      </c>
      <c r="I13" s="9" t="n">
        <f aca="false">F13*H13</f>
        <v>24.8</v>
      </c>
      <c r="J13" s="8" t="n">
        <v>27</v>
      </c>
      <c r="K13" s="6" t="s">
        <v>26</v>
      </c>
      <c r="L13" s="10"/>
    </row>
    <row r="14" customFormat="false" ht="15" hidden="false" customHeight="false" outlineLevel="0" collapsed="false">
      <c r="A14" s="5" t="n">
        <v>46298.0416666667</v>
      </c>
      <c r="B14" s="6" t="s">
        <v>15</v>
      </c>
      <c r="C14" s="6" t="s">
        <v>16</v>
      </c>
      <c r="D14" s="7" t="s">
        <v>17</v>
      </c>
      <c r="E14" s="6" t="s">
        <v>40</v>
      </c>
      <c r="F14" s="8" t="n">
        <v>3</v>
      </c>
      <c r="G14" s="6" t="s">
        <v>19</v>
      </c>
      <c r="H14" s="9" t="n">
        <v>18.5</v>
      </c>
      <c r="I14" s="9" t="n">
        <f aca="false">F14*H14</f>
        <v>55.5</v>
      </c>
      <c r="J14" s="8" t="n">
        <v>28</v>
      </c>
      <c r="K14" s="6" t="s">
        <v>20</v>
      </c>
      <c r="L14" s="10" t="s">
        <v>46</v>
      </c>
    </row>
    <row r="15" customFormat="false" ht="15" hidden="false" customHeight="false" outlineLevel="0" collapsed="false">
      <c r="A15" s="5" t="n">
        <v>46298.25</v>
      </c>
      <c r="B15" s="6" t="s">
        <v>22</v>
      </c>
      <c r="C15" s="6" t="s">
        <v>23</v>
      </c>
      <c r="D15" s="11" t="s">
        <v>24</v>
      </c>
      <c r="E15" s="6" t="s">
        <v>31</v>
      </c>
      <c r="F15" s="8" t="n">
        <v>4</v>
      </c>
      <c r="G15" s="6" t="s">
        <v>19</v>
      </c>
      <c r="H15" s="9" t="n">
        <v>4.1</v>
      </c>
      <c r="I15" s="9" t="n">
        <f aca="false">F15*H15</f>
        <v>16.4</v>
      </c>
      <c r="J15" s="8" t="n">
        <v>20</v>
      </c>
      <c r="K15" s="6" t="s">
        <v>26</v>
      </c>
      <c r="L15" s="10" t="s">
        <v>32</v>
      </c>
    </row>
    <row r="16" customFormat="false" ht="15" hidden="false" customHeight="false" outlineLevel="0" collapsed="false">
      <c r="A16" s="5" t="n">
        <v>46298.4583333333</v>
      </c>
      <c r="B16" s="6" t="s">
        <v>27</v>
      </c>
      <c r="C16" s="6" t="s">
        <v>28</v>
      </c>
      <c r="D16" s="11" t="s">
        <v>24</v>
      </c>
      <c r="E16" s="6" t="s">
        <v>47</v>
      </c>
      <c r="F16" s="8" t="n">
        <v>5</v>
      </c>
      <c r="G16" s="6" t="s">
        <v>19</v>
      </c>
      <c r="H16" s="9" t="n">
        <v>9.9</v>
      </c>
      <c r="I16" s="9" t="n">
        <f aca="false">F16*H16</f>
        <v>49.5</v>
      </c>
      <c r="J16" s="8" t="n">
        <v>21</v>
      </c>
      <c r="K16" s="6" t="s">
        <v>20</v>
      </c>
      <c r="L16" s="10"/>
    </row>
    <row r="17" customFormat="false" ht="15" hidden="false" customHeight="false" outlineLevel="0" collapsed="false">
      <c r="A17" s="5" t="n">
        <v>46298.6666666667</v>
      </c>
      <c r="B17" s="6" t="s">
        <v>29</v>
      </c>
      <c r="C17" s="6" t="s">
        <v>30</v>
      </c>
      <c r="D17" s="11" t="s">
        <v>24</v>
      </c>
      <c r="E17" s="6" t="s">
        <v>40</v>
      </c>
      <c r="F17" s="8" t="n">
        <v>6</v>
      </c>
      <c r="G17" s="6" t="s">
        <v>19</v>
      </c>
      <c r="H17" s="9" t="n">
        <v>3.2</v>
      </c>
      <c r="I17" s="9" t="n">
        <f aca="false">F17*H17</f>
        <v>19.2</v>
      </c>
      <c r="J17" s="8" t="n">
        <v>22</v>
      </c>
      <c r="K17" s="6" t="s">
        <v>26</v>
      </c>
      <c r="L17" s="10"/>
    </row>
    <row r="18" customFormat="false" ht="15" hidden="false" customHeight="false" outlineLevel="0" collapsed="false">
      <c r="A18" s="5" t="n">
        <v>46298.875</v>
      </c>
      <c r="B18" s="6" t="s">
        <v>33</v>
      </c>
      <c r="C18" s="6" t="s">
        <v>34</v>
      </c>
      <c r="D18" s="7" t="s">
        <v>17</v>
      </c>
      <c r="E18" s="6" t="s">
        <v>18</v>
      </c>
      <c r="F18" s="12" t="n">
        <v>2.5</v>
      </c>
      <c r="G18" s="6" t="s">
        <v>36</v>
      </c>
      <c r="H18" s="9" t="n">
        <v>22</v>
      </c>
      <c r="I18" s="9" t="n">
        <f aca="false">F18*H18</f>
        <v>55</v>
      </c>
      <c r="J18" s="12" t="n">
        <v>23</v>
      </c>
      <c r="K18" s="6" t="s">
        <v>20</v>
      </c>
      <c r="L18" s="10" t="s">
        <v>48</v>
      </c>
    </row>
    <row r="19" customFormat="false" ht="15" hidden="false" customHeight="false" outlineLevel="0" collapsed="false">
      <c r="A19" s="5" t="n">
        <v>46299.0833333333</v>
      </c>
      <c r="B19" s="6" t="s">
        <v>38</v>
      </c>
      <c r="C19" s="6" t="s">
        <v>39</v>
      </c>
      <c r="D19" s="11" t="s">
        <v>24</v>
      </c>
      <c r="E19" s="6" t="s">
        <v>25</v>
      </c>
      <c r="F19" s="12" t="n">
        <v>2.5</v>
      </c>
      <c r="G19" s="6" t="s">
        <v>41</v>
      </c>
      <c r="H19" s="9" t="n">
        <v>2.3</v>
      </c>
      <c r="I19" s="9" t="n">
        <f aca="false">F19*H19</f>
        <v>5.75</v>
      </c>
      <c r="J19" s="12" t="n">
        <v>24</v>
      </c>
      <c r="K19" s="6" t="s">
        <v>26</v>
      </c>
      <c r="L19" s="10"/>
    </row>
    <row r="20" customFormat="false" ht="15" hidden="false" customHeight="false" outlineLevel="0" collapsed="false">
      <c r="A20" s="5" t="n">
        <v>46299.2916666667</v>
      </c>
      <c r="B20" s="6" t="s">
        <v>42</v>
      </c>
      <c r="C20" s="6" t="s">
        <v>43</v>
      </c>
      <c r="D20" s="11" t="s">
        <v>24</v>
      </c>
      <c r="E20" s="6" t="s">
        <v>25</v>
      </c>
      <c r="F20" s="8" t="n">
        <v>3</v>
      </c>
      <c r="G20" s="6" t="s">
        <v>19</v>
      </c>
      <c r="H20" s="9" t="n">
        <v>24</v>
      </c>
      <c r="I20" s="9" t="n">
        <f aca="false">F20*H20</f>
        <v>72</v>
      </c>
      <c r="J20" s="8" t="n">
        <v>25</v>
      </c>
      <c r="K20" s="6" t="s">
        <v>20</v>
      </c>
      <c r="L20" s="10"/>
    </row>
    <row r="21" customFormat="false" ht="15" hidden="false" customHeight="false" outlineLevel="0" collapsed="false">
      <c r="A21" s="5" t="n">
        <v>46299.5</v>
      </c>
      <c r="B21" s="6" t="s">
        <v>44</v>
      </c>
      <c r="C21" s="6" t="s">
        <v>45</v>
      </c>
      <c r="D21" s="11" t="s">
        <v>24</v>
      </c>
      <c r="E21" s="6" t="s">
        <v>31</v>
      </c>
      <c r="F21" s="8" t="n">
        <v>4</v>
      </c>
      <c r="G21" s="6" t="s">
        <v>19</v>
      </c>
      <c r="H21" s="9" t="n">
        <v>12.4</v>
      </c>
      <c r="I21" s="9" t="n">
        <f aca="false">F21*H21</f>
        <v>49.6</v>
      </c>
      <c r="J21" s="8" t="n">
        <v>26</v>
      </c>
      <c r="K21" s="6" t="s">
        <v>26</v>
      </c>
      <c r="L21" s="10" t="s">
        <v>32</v>
      </c>
    </row>
    <row r="22" customFormat="false" ht="15" hidden="false" customHeight="false" outlineLevel="0" collapsed="false">
      <c r="A22" s="5" t="n">
        <v>46299.7083333333</v>
      </c>
      <c r="B22" s="6" t="s">
        <v>15</v>
      </c>
      <c r="C22" s="6" t="s">
        <v>16</v>
      </c>
      <c r="D22" s="7" t="s">
        <v>17</v>
      </c>
      <c r="E22" s="6" t="s">
        <v>35</v>
      </c>
      <c r="F22" s="8" t="n">
        <v>5</v>
      </c>
      <c r="G22" s="6" t="s">
        <v>19</v>
      </c>
      <c r="H22" s="9" t="n">
        <v>18.5</v>
      </c>
      <c r="I22" s="9" t="n">
        <f aca="false">F22*H22</f>
        <v>92.5</v>
      </c>
      <c r="J22" s="8" t="n">
        <v>27</v>
      </c>
      <c r="K22" s="6" t="s">
        <v>20</v>
      </c>
      <c r="L22" s="10" t="s">
        <v>49</v>
      </c>
    </row>
    <row r="23" customFormat="false" ht="15" hidden="false" customHeight="false" outlineLevel="0" collapsed="false">
      <c r="A23" s="5" t="n">
        <v>46299.9166666667</v>
      </c>
      <c r="B23" s="6" t="s">
        <v>22</v>
      </c>
      <c r="C23" s="6" t="s">
        <v>23</v>
      </c>
      <c r="D23" s="11" t="s">
        <v>24</v>
      </c>
      <c r="E23" s="6" t="s">
        <v>40</v>
      </c>
      <c r="F23" s="8" t="n">
        <v>6</v>
      </c>
      <c r="G23" s="6" t="s">
        <v>19</v>
      </c>
      <c r="H23" s="9" t="n">
        <v>4.1</v>
      </c>
      <c r="I23" s="9" t="n">
        <f aca="false">F23*H23</f>
        <v>24.6</v>
      </c>
      <c r="J23" s="8" t="n">
        <v>28</v>
      </c>
      <c r="K23" s="6" t="s">
        <v>26</v>
      </c>
      <c r="L23" s="10"/>
    </row>
    <row r="24" customFormat="false" ht="15" hidden="false" customHeight="false" outlineLevel="0" collapsed="false">
      <c r="A24" s="5" t="n">
        <v>46300.125</v>
      </c>
      <c r="B24" s="6" t="s">
        <v>27</v>
      </c>
      <c r="C24" s="6" t="s">
        <v>28</v>
      </c>
      <c r="D24" s="11" t="s">
        <v>24</v>
      </c>
      <c r="E24" s="6" t="s">
        <v>25</v>
      </c>
      <c r="F24" s="8" t="n">
        <v>1</v>
      </c>
      <c r="G24" s="6" t="s">
        <v>19</v>
      </c>
      <c r="H24" s="9" t="n">
        <v>9.9</v>
      </c>
      <c r="I24" s="9" t="n">
        <f aca="false">F24*H24</f>
        <v>9.9</v>
      </c>
      <c r="J24" s="8" t="n">
        <v>20</v>
      </c>
      <c r="K24" s="6" t="s">
        <v>20</v>
      </c>
      <c r="L24" s="10"/>
    </row>
    <row r="25" customFormat="false" ht="15" hidden="false" customHeight="false" outlineLevel="0" collapsed="false">
      <c r="A25" s="5" t="n">
        <v>46300.3333333333</v>
      </c>
      <c r="B25" s="6" t="s">
        <v>29</v>
      </c>
      <c r="C25" s="6" t="s">
        <v>30</v>
      </c>
      <c r="D25" s="11" t="s">
        <v>24</v>
      </c>
      <c r="E25" s="6" t="s">
        <v>25</v>
      </c>
      <c r="F25" s="8" t="n">
        <v>2</v>
      </c>
      <c r="G25" s="6" t="s">
        <v>19</v>
      </c>
      <c r="H25" s="9" t="n">
        <v>3.2</v>
      </c>
      <c r="I25" s="9" t="n">
        <f aca="false">F25*H25</f>
        <v>6.4</v>
      </c>
      <c r="J25" s="8" t="n">
        <v>21</v>
      </c>
      <c r="K25" s="6" t="s">
        <v>26</v>
      </c>
      <c r="L25" s="10"/>
    </row>
    <row r="26" customFormat="false" ht="15" hidden="false" customHeight="false" outlineLevel="0" collapsed="false">
      <c r="A26" s="5" t="n">
        <v>46300.5416666667</v>
      </c>
      <c r="B26" s="6" t="s">
        <v>33</v>
      </c>
      <c r="C26" s="6" t="s">
        <v>34</v>
      </c>
      <c r="D26" s="7" t="s">
        <v>17</v>
      </c>
      <c r="E26" s="6" t="s">
        <v>40</v>
      </c>
      <c r="F26" s="12" t="n">
        <v>2.5</v>
      </c>
      <c r="G26" s="6" t="s">
        <v>36</v>
      </c>
      <c r="H26" s="9" t="n">
        <v>22</v>
      </c>
      <c r="I26" s="9" t="n">
        <f aca="false">F26*H26</f>
        <v>55</v>
      </c>
      <c r="J26" s="12" t="n">
        <v>22</v>
      </c>
      <c r="K26" s="6" t="s">
        <v>20</v>
      </c>
      <c r="L26" s="10" t="s">
        <v>50</v>
      </c>
    </row>
    <row r="27" customFormat="false" ht="15" hidden="false" customHeight="false" outlineLevel="0" collapsed="false">
      <c r="A27" s="5" t="n">
        <v>46300.75</v>
      </c>
      <c r="B27" s="6" t="s">
        <v>38</v>
      </c>
      <c r="C27" s="6" t="s">
        <v>39</v>
      </c>
      <c r="D27" s="11" t="s">
        <v>24</v>
      </c>
      <c r="E27" s="6" t="s">
        <v>31</v>
      </c>
      <c r="F27" s="12" t="n">
        <v>2.5</v>
      </c>
      <c r="G27" s="6" t="s">
        <v>41</v>
      </c>
      <c r="H27" s="9" t="n">
        <v>2.3</v>
      </c>
      <c r="I27" s="9" t="n">
        <f aca="false">F27*H27</f>
        <v>5.75</v>
      </c>
      <c r="J27" s="12" t="n">
        <v>23</v>
      </c>
      <c r="K27" s="6" t="s">
        <v>26</v>
      </c>
      <c r="L27" s="10" t="s">
        <v>32</v>
      </c>
    </row>
    <row r="28" customFormat="false" ht="15" hidden="false" customHeight="false" outlineLevel="0" collapsed="false">
      <c r="A28" s="5" t="n">
        <v>46300.9583333333</v>
      </c>
      <c r="B28" s="6" t="s">
        <v>42</v>
      </c>
      <c r="C28" s="6" t="s">
        <v>43</v>
      </c>
      <c r="D28" s="11" t="s">
        <v>24</v>
      </c>
      <c r="E28" s="6" t="s">
        <v>47</v>
      </c>
      <c r="F28" s="8" t="n">
        <v>5</v>
      </c>
      <c r="G28" s="6" t="s">
        <v>19</v>
      </c>
      <c r="H28" s="9" t="n">
        <v>24</v>
      </c>
      <c r="I28" s="9" t="n">
        <f aca="false">F28*H28</f>
        <v>120</v>
      </c>
      <c r="J28" s="8" t="n">
        <v>24</v>
      </c>
      <c r="K28" s="6" t="s">
        <v>20</v>
      </c>
      <c r="L28" s="10"/>
    </row>
    <row r="29" customFormat="false" ht="15" hidden="false" customHeight="false" outlineLevel="0" collapsed="false">
      <c r="A29" s="5" t="n">
        <v>46301.1666666667</v>
      </c>
      <c r="B29" s="6" t="s">
        <v>44</v>
      </c>
      <c r="C29" s="6" t="s">
        <v>45</v>
      </c>
      <c r="D29" s="11" t="s">
        <v>24</v>
      </c>
      <c r="E29" s="6" t="s">
        <v>40</v>
      </c>
      <c r="F29" s="8" t="n">
        <v>6</v>
      </c>
      <c r="G29" s="6" t="s">
        <v>19</v>
      </c>
      <c r="H29" s="9" t="n">
        <v>12.4</v>
      </c>
      <c r="I29" s="9" t="n">
        <f aca="false">F29*H29</f>
        <v>74.4</v>
      </c>
      <c r="J29" s="8" t="n">
        <v>25</v>
      </c>
      <c r="K29" s="6" t="s">
        <v>26</v>
      </c>
      <c r="L29" s="10"/>
    </row>
    <row r="30" customFormat="false" ht="15" hidden="false" customHeight="false" outlineLevel="0" collapsed="false">
      <c r="A30" s="5" t="n">
        <v>46301.375</v>
      </c>
      <c r="B30" s="6" t="s">
        <v>15</v>
      </c>
      <c r="C30" s="6" t="s">
        <v>16</v>
      </c>
      <c r="D30" s="7" t="s">
        <v>17</v>
      </c>
      <c r="E30" s="6" t="s">
        <v>18</v>
      </c>
      <c r="F30" s="8" t="n">
        <v>1</v>
      </c>
      <c r="G30" s="6" t="s">
        <v>19</v>
      </c>
      <c r="H30" s="9" t="n">
        <v>18.5</v>
      </c>
      <c r="I30" s="9" t="n">
        <f aca="false">F30*H30</f>
        <v>18.5</v>
      </c>
      <c r="J30" s="8" t="n">
        <v>26</v>
      </c>
      <c r="K30" s="6" t="s">
        <v>20</v>
      </c>
      <c r="L30" s="10" t="s">
        <v>51</v>
      </c>
    </row>
    <row r="31" customFormat="false" ht="15" hidden="false" customHeight="false" outlineLevel="0" collapsed="false">
      <c r="A31" s="5" t="n">
        <v>46301.5833333333</v>
      </c>
      <c r="B31" s="6" t="s">
        <v>22</v>
      </c>
      <c r="C31" s="6" t="s">
        <v>23</v>
      </c>
      <c r="D31" s="11" t="s">
        <v>24</v>
      </c>
      <c r="E31" s="6" t="s">
        <v>25</v>
      </c>
      <c r="F31" s="8" t="n">
        <v>2</v>
      </c>
      <c r="G31" s="6" t="s">
        <v>19</v>
      </c>
      <c r="H31" s="9" t="n">
        <v>4.1</v>
      </c>
      <c r="I31" s="9" t="n">
        <f aca="false">F31*H31</f>
        <v>8.2</v>
      </c>
      <c r="J31" s="8" t="n">
        <v>27</v>
      </c>
      <c r="K31" s="6" t="s">
        <v>26</v>
      </c>
      <c r="L31" s="10"/>
    </row>
    <row r="32" customFormat="false" ht="15" hidden="false" customHeight="false" outlineLevel="0" collapsed="false">
      <c r="A32" s="5" t="n">
        <v>46301.7916666667</v>
      </c>
      <c r="B32" s="6" t="s">
        <v>27</v>
      </c>
      <c r="C32" s="6" t="s">
        <v>28</v>
      </c>
      <c r="D32" s="11" t="s">
        <v>24</v>
      </c>
      <c r="E32" s="6" t="s">
        <v>25</v>
      </c>
      <c r="F32" s="8" t="n">
        <v>3</v>
      </c>
      <c r="G32" s="6" t="s">
        <v>19</v>
      </c>
      <c r="H32" s="9" t="n">
        <v>9.9</v>
      </c>
      <c r="I32" s="9" t="n">
        <f aca="false">F32*H32</f>
        <v>29.7</v>
      </c>
      <c r="J32" s="8" t="n">
        <v>28</v>
      </c>
      <c r="K32" s="6" t="s">
        <v>20</v>
      </c>
      <c r="L32" s="10"/>
    </row>
    <row r="33" customFormat="false" ht="15" hidden="false" customHeight="false" outlineLevel="0" collapsed="false">
      <c r="A33" s="5" t="n">
        <v>46302</v>
      </c>
      <c r="B33" s="6" t="s">
        <v>29</v>
      </c>
      <c r="C33" s="6" t="s">
        <v>30</v>
      </c>
      <c r="D33" s="11" t="s">
        <v>24</v>
      </c>
      <c r="E33" s="6" t="s">
        <v>31</v>
      </c>
      <c r="F33" s="8" t="n">
        <v>4</v>
      </c>
      <c r="G33" s="6" t="s">
        <v>19</v>
      </c>
      <c r="H33" s="9" t="n">
        <v>3.2</v>
      </c>
      <c r="I33" s="9" t="n">
        <f aca="false">F33*H33</f>
        <v>12.8</v>
      </c>
      <c r="J33" s="8" t="n">
        <v>20</v>
      </c>
      <c r="K33" s="6" t="s">
        <v>26</v>
      </c>
      <c r="L33" s="10" t="s">
        <v>32</v>
      </c>
    </row>
    <row r="34" customFormat="false" ht="15" hidden="false" customHeight="false" outlineLevel="0" collapsed="false">
      <c r="A34" s="5" t="n">
        <v>46302.2083333333</v>
      </c>
      <c r="B34" s="6" t="s">
        <v>33</v>
      </c>
      <c r="C34" s="6" t="s">
        <v>34</v>
      </c>
      <c r="D34" s="7" t="s">
        <v>17</v>
      </c>
      <c r="E34" s="6" t="s">
        <v>35</v>
      </c>
      <c r="F34" s="12" t="n">
        <v>2.5</v>
      </c>
      <c r="G34" s="6" t="s">
        <v>36</v>
      </c>
      <c r="H34" s="9" t="n">
        <v>22</v>
      </c>
      <c r="I34" s="9" t="n">
        <f aca="false">F34*H34</f>
        <v>55</v>
      </c>
      <c r="J34" s="12" t="n">
        <v>21</v>
      </c>
      <c r="K34" s="6" t="s">
        <v>20</v>
      </c>
      <c r="L34" s="10" t="s">
        <v>52</v>
      </c>
    </row>
    <row r="35" customFormat="false" ht="15" hidden="false" customHeight="false" outlineLevel="0" collapsed="false">
      <c r="A35" s="5" t="n">
        <v>46302.4166666667</v>
      </c>
      <c r="B35" s="6" t="s">
        <v>38</v>
      </c>
      <c r="C35" s="6" t="s">
        <v>39</v>
      </c>
      <c r="D35" s="11" t="s">
        <v>24</v>
      </c>
      <c r="E35" s="6" t="s">
        <v>40</v>
      </c>
      <c r="F35" s="12" t="n">
        <v>2.5</v>
      </c>
      <c r="G35" s="6" t="s">
        <v>41</v>
      </c>
      <c r="H35" s="9" t="n">
        <v>2.3</v>
      </c>
      <c r="I35" s="9" t="n">
        <f aca="false">F35*H35</f>
        <v>5.75</v>
      </c>
      <c r="J35" s="12" t="n">
        <v>22</v>
      </c>
      <c r="K35" s="6" t="s">
        <v>26</v>
      </c>
      <c r="L35" s="10"/>
    </row>
    <row r="36" customFormat="false" ht="15" hidden="false" customHeight="false" outlineLevel="0" collapsed="false">
      <c r="A36" s="5" t="n">
        <v>46302.625</v>
      </c>
      <c r="B36" s="6" t="s">
        <v>42</v>
      </c>
      <c r="C36" s="6" t="s">
        <v>43</v>
      </c>
      <c r="D36" s="11" t="s">
        <v>24</v>
      </c>
      <c r="E36" s="6" t="s">
        <v>25</v>
      </c>
      <c r="F36" s="8" t="n">
        <v>1</v>
      </c>
      <c r="G36" s="6" t="s">
        <v>19</v>
      </c>
      <c r="H36" s="9" t="n">
        <v>24</v>
      </c>
      <c r="I36" s="9" t="n">
        <f aca="false">F36*H36</f>
        <v>24</v>
      </c>
      <c r="J36" s="8" t="n">
        <v>23</v>
      </c>
      <c r="K36" s="6" t="s">
        <v>20</v>
      </c>
      <c r="L36" s="10"/>
    </row>
    <row r="37" customFormat="false" ht="15" hidden="false" customHeight="false" outlineLevel="0" collapsed="false">
      <c r="A37" s="5" t="n">
        <v>46302.8333333333</v>
      </c>
      <c r="B37" s="6" t="s">
        <v>44</v>
      </c>
      <c r="C37" s="6" t="s">
        <v>45</v>
      </c>
      <c r="D37" s="11" t="s">
        <v>24</v>
      </c>
      <c r="E37" s="6" t="s">
        <v>25</v>
      </c>
      <c r="F37" s="8" t="n">
        <v>2</v>
      </c>
      <c r="G37" s="6" t="s">
        <v>19</v>
      </c>
      <c r="H37" s="9" t="n">
        <v>12.4</v>
      </c>
      <c r="I37" s="9" t="n">
        <f aca="false">F37*H37</f>
        <v>24.8</v>
      </c>
      <c r="J37" s="8" t="n">
        <v>24</v>
      </c>
      <c r="K37" s="6" t="s">
        <v>26</v>
      </c>
      <c r="L37" s="10"/>
    </row>
    <row r="38" customFormat="false" ht="15" hidden="false" customHeight="false" outlineLevel="0" collapsed="false">
      <c r="A38" s="5" t="n">
        <v>46303.0416666667</v>
      </c>
      <c r="B38" s="6" t="s">
        <v>15</v>
      </c>
      <c r="C38" s="6" t="s">
        <v>16</v>
      </c>
      <c r="D38" s="7" t="s">
        <v>17</v>
      </c>
      <c r="E38" s="6" t="s">
        <v>40</v>
      </c>
      <c r="F38" s="8" t="n">
        <v>3</v>
      </c>
      <c r="G38" s="6" t="s">
        <v>19</v>
      </c>
      <c r="H38" s="9" t="n">
        <v>18.5</v>
      </c>
      <c r="I38" s="9" t="n">
        <f aca="false">F38*H38</f>
        <v>55.5</v>
      </c>
      <c r="J38" s="8" t="n">
        <v>25</v>
      </c>
      <c r="K38" s="6" t="s">
        <v>20</v>
      </c>
      <c r="L38" s="10" t="s">
        <v>53</v>
      </c>
    </row>
    <row r="39" customFormat="false" ht="15" hidden="false" customHeight="false" outlineLevel="0" collapsed="false">
      <c r="A39" s="5" t="n">
        <v>46303.25</v>
      </c>
      <c r="B39" s="6" t="s">
        <v>22</v>
      </c>
      <c r="C39" s="6" t="s">
        <v>23</v>
      </c>
      <c r="D39" s="11" t="s">
        <v>24</v>
      </c>
      <c r="E39" s="6" t="s">
        <v>31</v>
      </c>
      <c r="F39" s="8" t="n">
        <v>4</v>
      </c>
      <c r="G39" s="6" t="s">
        <v>19</v>
      </c>
      <c r="H39" s="9" t="n">
        <v>4.1</v>
      </c>
      <c r="I39" s="9" t="n">
        <f aca="false">F39*H39</f>
        <v>16.4</v>
      </c>
      <c r="J39" s="8" t="n">
        <v>26</v>
      </c>
      <c r="K39" s="6" t="s">
        <v>26</v>
      </c>
      <c r="L39" s="10" t="s">
        <v>32</v>
      </c>
    </row>
    <row r="40" customFormat="false" ht="15" hidden="false" customHeight="false" outlineLevel="0" collapsed="false">
      <c r="A40" s="5" t="n">
        <v>46303.4583333333</v>
      </c>
      <c r="B40" s="6" t="s">
        <v>27</v>
      </c>
      <c r="C40" s="6" t="s">
        <v>28</v>
      </c>
      <c r="D40" s="11" t="s">
        <v>24</v>
      </c>
      <c r="E40" s="6" t="s">
        <v>47</v>
      </c>
      <c r="F40" s="8" t="n">
        <v>5</v>
      </c>
      <c r="G40" s="6" t="s">
        <v>19</v>
      </c>
      <c r="H40" s="9" t="n">
        <v>9.9</v>
      </c>
      <c r="I40" s="9" t="n">
        <f aca="false">F40*H40</f>
        <v>49.5</v>
      </c>
      <c r="J40" s="8" t="n">
        <v>27</v>
      </c>
      <c r="K40" s="6" t="s">
        <v>20</v>
      </c>
      <c r="L40" s="10"/>
    </row>
    <row r="41" customFormat="false" ht="15" hidden="false" customHeight="false" outlineLevel="0" collapsed="false">
      <c r="A41" s="5" t="n">
        <v>46303.6666666667</v>
      </c>
      <c r="B41" s="6" t="s">
        <v>29</v>
      </c>
      <c r="C41" s="6" t="s">
        <v>30</v>
      </c>
      <c r="D41" s="11" t="s">
        <v>24</v>
      </c>
      <c r="E41" s="6" t="s">
        <v>40</v>
      </c>
      <c r="F41" s="8" t="n">
        <v>6</v>
      </c>
      <c r="G41" s="6" t="s">
        <v>19</v>
      </c>
      <c r="H41" s="9" t="n">
        <v>3.2</v>
      </c>
      <c r="I41" s="9" t="n">
        <f aca="false">F41*H41</f>
        <v>19.2</v>
      </c>
      <c r="J41" s="8" t="n">
        <v>28</v>
      </c>
      <c r="K41" s="6" t="s">
        <v>26</v>
      </c>
      <c r="L41" s="10"/>
    </row>
    <row r="42" customFormat="false" ht="15" hidden="false" customHeight="false" outlineLevel="0" collapsed="false">
      <c r="A42" s="5" t="n">
        <v>46303.875</v>
      </c>
      <c r="B42" s="6" t="s">
        <v>33</v>
      </c>
      <c r="C42" s="6" t="s">
        <v>34</v>
      </c>
      <c r="D42" s="7" t="s">
        <v>17</v>
      </c>
      <c r="E42" s="6" t="s">
        <v>18</v>
      </c>
      <c r="F42" s="12" t="n">
        <v>2.5</v>
      </c>
      <c r="G42" s="6" t="s">
        <v>36</v>
      </c>
      <c r="H42" s="9" t="n">
        <v>22</v>
      </c>
      <c r="I42" s="9" t="n">
        <f aca="false">F42*H42</f>
        <v>55</v>
      </c>
      <c r="J42" s="12" t="n">
        <v>20</v>
      </c>
      <c r="K42" s="6" t="s">
        <v>20</v>
      </c>
      <c r="L42" s="10" t="s">
        <v>54</v>
      </c>
    </row>
    <row r="43" customFormat="false" ht="15" hidden="false" customHeight="false" outlineLevel="0" collapsed="false">
      <c r="A43" s="5" t="n">
        <v>46304.0833333333</v>
      </c>
      <c r="B43" s="6" t="s">
        <v>38</v>
      </c>
      <c r="C43" s="6" t="s">
        <v>39</v>
      </c>
      <c r="D43" s="11" t="s">
        <v>24</v>
      </c>
      <c r="E43" s="6" t="s">
        <v>25</v>
      </c>
      <c r="F43" s="12" t="n">
        <v>2.5</v>
      </c>
      <c r="G43" s="6" t="s">
        <v>41</v>
      </c>
      <c r="H43" s="9" t="n">
        <v>2.3</v>
      </c>
      <c r="I43" s="9" t="n">
        <f aca="false">F43*H43</f>
        <v>5.75</v>
      </c>
      <c r="J43" s="12" t="n">
        <v>21</v>
      </c>
      <c r="K43" s="6" t="s">
        <v>26</v>
      </c>
      <c r="L43" s="10"/>
    </row>
    <row r="44" customFormat="false" ht="15" hidden="false" customHeight="false" outlineLevel="0" collapsed="false">
      <c r="A44" s="5" t="n">
        <v>46304.2916666667</v>
      </c>
      <c r="B44" s="6" t="s">
        <v>42</v>
      </c>
      <c r="C44" s="6" t="s">
        <v>43</v>
      </c>
      <c r="D44" s="11" t="s">
        <v>24</v>
      </c>
      <c r="E44" s="6" t="s">
        <v>25</v>
      </c>
      <c r="F44" s="8" t="n">
        <v>3</v>
      </c>
      <c r="G44" s="6" t="s">
        <v>19</v>
      </c>
      <c r="H44" s="9" t="n">
        <v>24</v>
      </c>
      <c r="I44" s="9" t="n">
        <f aca="false">F44*H44</f>
        <v>72</v>
      </c>
      <c r="J44" s="8" t="n">
        <v>22</v>
      </c>
      <c r="K44" s="6" t="s">
        <v>20</v>
      </c>
      <c r="L44" s="10"/>
    </row>
    <row r="45" customFormat="false" ht="15" hidden="false" customHeight="false" outlineLevel="0" collapsed="false">
      <c r="A45" s="5" t="n">
        <v>46304.5</v>
      </c>
      <c r="B45" s="6" t="s">
        <v>44</v>
      </c>
      <c r="C45" s="6" t="s">
        <v>45</v>
      </c>
      <c r="D45" s="11" t="s">
        <v>24</v>
      </c>
      <c r="E45" s="6" t="s">
        <v>31</v>
      </c>
      <c r="F45" s="8" t="n">
        <v>4</v>
      </c>
      <c r="G45" s="6" t="s">
        <v>19</v>
      </c>
      <c r="H45" s="9" t="n">
        <v>12.4</v>
      </c>
      <c r="I45" s="9" t="n">
        <f aca="false">F45*H45</f>
        <v>49.6</v>
      </c>
      <c r="J45" s="8" t="n">
        <v>23</v>
      </c>
      <c r="K45" s="6" t="s">
        <v>26</v>
      </c>
      <c r="L45" s="10" t="s">
        <v>32</v>
      </c>
    </row>
    <row r="46" customFormat="false" ht="15" hidden="false" customHeight="false" outlineLevel="0" collapsed="false">
      <c r="A46" s="5" t="n">
        <v>46304.7083333333</v>
      </c>
      <c r="B46" s="6" t="s">
        <v>15</v>
      </c>
      <c r="C46" s="6" t="s">
        <v>16</v>
      </c>
      <c r="D46" s="7" t="s">
        <v>17</v>
      </c>
      <c r="E46" s="6" t="s">
        <v>35</v>
      </c>
      <c r="F46" s="8" t="n">
        <v>5</v>
      </c>
      <c r="G46" s="6" t="s">
        <v>19</v>
      </c>
      <c r="H46" s="9" t="n">
        <v>18.5</v>
      </c>
      <c r="I46" s="9" t="n">
        <f aca="false">F46*H46</f>
        <v>92.5</v>
      </c>
      <c r="J46" s="8" t="n">
        <v>24</v>
      </c>
      <c r="K46" s="6" t="s">
        <v>20</v>
      </c>
      <c r="L46" s="10" t="s">
        <v>55</v>
      </c>
    </row>
    <row r="47" customFormat="false" ht="15" hidden="false" customHeight="false" outlineLevel="0" collapsed="false">
      <c r="A47" s="5" t="n">
        <v>46304.9166666667</v>
      </c>
      <c r="B47" s="6" t="s">
        <v>22</v>
      </c>
      <c r="C47" s="6" t="s">
        <v>23</v>
      </c>
      <c r="D47" s="11" t="s">
        <v>24</v>
      </c>
      <c r="E47" s="6" t="s">
        <v>40</v>
      </c>
      <c r="F47" s="8" t="n">
        <v>6</v>
      </c>
      <c r="G47" s="6" t="s">
        <v>19</v>
      </c>
      <c r="H47" s="9" t="n">
        <v>4.1</v>
      </c>
      <c r="I47" s="9" t="n">
        <f aca="false">F47*H47</f>
        <v>24.6</v>
      </c>
      <c r="J47" s="8" t="n">
        <v>25</v>
      </c>
      <c r="K47" s="6" t="s">
        <v>26</v>
      </c>
      <c r="L47" s="10"/>
    </row>
    <row r="48" customFormat="false" ht="15" hidden="false" customHeight="false" outlineLevel="0" collapsed="false">
      <c r="A48" s="5" t="n">
        <v>46305.125</v>
      </c>
      <c r="B48" s="6" t="s">
        <v>27</v>
      </c>
      <c r="C48" s="6" t="s">
        <v>28</v>
      </c>
      <c r="D48" s="11" t="s">
        <v>24</v>
      </c>
      <c r="E48" s="6" t="s">
        <v>25</v>
      </c>
      <c r="F48" s="8" t="n">
        <v>1</v>
      </c>
      <c r="G48" s="6" t="s">
        <v>19</v>
      </c>
      <c r="H48" s="9" t="n">
        <v>9.9</v>
      </c>
      <c r="I48" s="9" t="n">
        <f aca="false">F48*H48</f>
        <v>9.9</v>
      </c>
      <c r="J48" s="8" t="n">
        <v>26</v>
      </c>
      <c r="K48" s="6" t="s">
        <v>20</v>
      </c>
      <c r="L48" s="10"/>
    </row>
    <row r="49" customFormat="false" ht="15" hidden="false" customHeight="false" outlineLevel="0" collapsed="false">
      <c r="A49" s="5" t="n">
        <v>46305.3333333333</v>
      </c>
      <c r="B49" s="6" t="s">
        <v>29</v>
      </c>
      <c r="C49" s="6" t="s">
        <v>30</v>
      </c>
      <c r="D49" s="11" t="s">
        <v>24</v>
      </c>
      <c r="E49" s="6" t="s">
        <v>25</v>
      </c>
      <c r="F49" s="8" t="n">
        <v>2</v>
      </c>
      <c r="G49" s="6" t="s">
        <v>19</v>
      </c>
      <c r="H49" s="9" t="n">
        <v>3.2</v>
      </c>
      <c r="I49" s="9" t="n">
        <f aca="false">F49*H49</f>
        <v>6.4</v>
      </c>
      <c r="J49" s="8" t="n">
        <v>27</v>
      </c>
      <c r="K49" s="6" t="s">
        <v>26</v>
      </c>
      <c r="L49" s="10"/>
    </row>
    <row r="50" customFormat="false" ht="15" hidden="false" customHeight="false" outlineLevel="0" collapsed="false">
      <c r="A50" s="5" t="n">
        <v>46305.5416666667</v>
      </c>
      <c r="B50" s="6" t="s">
        <v>33</v>
      </c>
      <c r="C50" s="6" t="s">
        <v>34</v>
      </c>
      <c r="D50" s="7" t="s">
        <v>17</v>
      </c>
      <c r="E50" s="6" t="s">
        <v>40</v>
      </c>
      <c r="F50" s="12" t="n">
        <v>2.5</v>
      </c>
      <c r="G50" s="6" t="s">
        <v>36</v>
      </c>
      <c r="H50" s="9" t="n">
        <v>22</v>
      </c>
      <c r="I50" s="9" t="n">
        <f aca="false">F50*H50</f>
        <v>55</v>
      </c>
      <c r="J50" s="12" t="n">
        <v>28</v>
      </c>
      <c r="K50" s="6" t="s">
        <v>20</v>
      </c>
      <c r="L50" s="10" t="s">
        <v>56</v>
      </c>
    </row>
    <row r="51" customFormat="false" ht="15" hidden="false" customHeight="false" outlineLevel="0" collapsed="false">
      <c r="A51" s="5" t="n">
        <v>46305.75</v>
      </c>
      <c r="B51" s="6" t="s">
        <v>38</v>
      </c>
      <c r="C51" s="6" t="s">
        <v>39</v>
      </c>
      <c r="D51" s="11" t="s">
        <v>24</v>
      </c>
      <c r="E51" s="6" t="s">
        <v>31</v>
      </c>
      <c r="F51" s="12" t="n">
        <v>2.5</v>
      </c>
      <c r="G51" s="6" t="s">
        <v>41</v>
      </c>
      <c r="H51" s="9" t="n">
        <v>2.3</v>
      </c>
      <c r="I51" s="9" t="n">
        <f aca="false">F51*H51</f>
        <v>5.75</v>
      </c>
      <c r="J51" s="12" t="n">
        <v>20</v>
      </c>
      <c r="K51" s="6" t="s">
        <v>26</v>
      </c>
      <c r="L51" s="10" t="s">
        <v>32</v>
      </c>
    </row>
    <row r="52" customFormat="false" ht="15" hidden="false" customHeight="false" outlineLevel="0" collapsed="false">
      <c r="A52" s="5" t="n">
        <v>46305.9583333333</v>
      </c>
      <c r="B52" s="6" t="s">
        <v>42</v>
      </c>
      <c r="C52" s="6" t="s">
        <v>43</v>
      </c>
      <c r="D52" s="11" t="s">
        <v>24</v>
      </c>
      <c r="E52" s="6" t="s">
        <v>47</v>
      </c>
      <c r="F52" s="8" t="n">
        <v>5</v>
      </c>
      <c r="G52" s="6" t="s">
        <v>19</v>
      </c>
      <c r="H52" s="9" t="n">
        <v>24</v>
      </c>
      <c r="I52" s="9" t="n">
        <f aca="false">F52*H52</f>
        <v>120</v>
      </c>
      <c r="J52" s="8" t="n">
        <v>21</v>
      </c>
      <c r="K52" s="6" t="s">
        <v>20</v>
      </c>
      <c r="L52" s="10"/>
    </row>
    <row r="53" customFormat="false" ht="15" hidden="false" customHeight="false" outlineLevel="0" collapsed="false">
      <c r="A53" s="5" t="n">
        <v>46306.1666666667</v>
      </c>
      <c r="B53" s="6" t="s">
        <v>44</v>
      </c>
      <c r="C53" s="6" t="s">
        <v>45</v>
      </c>
      <c r="D53" s="11" t="s">
        <v>24</v>
      </c>
      <c r="E53" s="6" t="s">
        <v>40</v>
      </c>
      <c r="F53" s="8" t="n">
        <v>6</v>
      </c>
      <c r="G53" s="6" t="s">
        <v>19</v>
      </c>
      <c r="H53" s="9" t="n">
        <v>12.4</v>
      </c>
      <c r="I53" s="9" t="n">
        <f aca="false">F53*H53</f>
        <v>74.4</v>
      </c>
      <c r="J53" s="8" t="n">
        <v>22</v>
      </c>
      <c r="K53" s="6" t="s">
        <v>26</v>
      </c>
      <c r="L53" s="10"/>
    </row>
    <row r="54" customFormat="false" ht="15" hidden="false" customHeight="false" outlineLevel="0" collapsed="false">
      <c r="A54" s="5" t="n">
        <v>46306.375</v>
      </c>
      <c r="B54" s="6" t="s">
        <v>15</v>
      </c>
      <c r="C54" s="6" t="s">
        <v>16</v>
      </c>
      <c r="D54" s="7" t="s">
        <v>17</v>
      </c>
      <c r="E54" s="6" t="s">
        <v>18</v>
      </c>
      <c r="F54" s="8" t="n">
        <v>1</v>
      </c>
      <c r="G54" s="6" t="s">
        <v>19</v>
      </c>
      <c r="H54" s="9" t="n">
        <v>18.5</v>
      </c>
      <c r="I54" s="9" t="n">
        <f aca="false">F54*H54</f>
        <v>18.5</v>
      </c>
      <c r="J54" s="8" t="n">
        <v>23</v>
      </c>
      <c r="K54" s="6" t="s">
        <v>20</v>
      </c>
      <c r="L54" s="10" t="s">
        <v>57</v>
      </c>
    </row>
    <row r="55" customFormat="false" ht="15" hidden="false" customHeight="false" outlineLevel="0" collapsed="false">
      <c r="A55" s="5" t="n">
        <v>46306.5833333333</v>
      </c>
      <c r="B55" s="6" t="s">
        <v>22</v>
      </c>
      <c r="C55" s="6" t="s">
        <v>23</v>
      </c>
      <c r="D55" s="11" t="s">
        <v>24</v>
      </c>
      <c r="E55" s="6" t="s">
        <v>25</v>
      </c>
      <c r="F55" s="8" t="n">
        <v>2</v>
      </c>
      <c r="G55" s="6" t="s">
        <v>19</v>
      </c>
      <c r="H55" s="9" t="n">
        <v>4.1</v>
      </c>
      <c r="I55" s="9" t="n">
        <f aca="false">F55*H55</f>
        <v>8.2</v>
      </c>
      <c r="J55" s="8" t="n">
        <v>24</v>
      </c>
      <c r="K55" s="6" t="s">
        <v>26</v>
      </c>
      <c r="L55" s="10"/>
    </row>
    <row r="56" customFormat="false" ht="15" hidden="false" customHeight="false" outlineLevel="0" collapsed="false">
      <c r="A56" s="5" t="n">
        <v>46306.7916666667</v>
      </c>
      <c r="B56" s="6" t="s">
        <v>27</v>
      </c>
      <c r="C56" s="6" t="s">
        <v>28</v>
      </c>
      <c r="D56" s="11" t="s">
        <v>24</v>
      </c>
      <c r="E56" s="6" t="s">
        <v>25</v>
      </c>
      <c r="F56" s="8" t="n">
        <v>3</v>
      </c>
      <c r="G56" s="6" t="s">
        <v>19</v>
      </c>
      <c r="H56" s="9" t="n">
        <v>9.9</v>
      </c>
      <c r="I56" s="9" t="n">
        <f aca="false">F56*H56</f>
        <v>29.7</v>
      </c>
      <c r="J56" s="8" t="n">
        <v>25</v>
      </c>
      <c r="K56" s="6" t="s">
        <v>20</v>
      </c>
      <c r="L56" s="10"/>
    </row>
    <row r="57" customFormat="false" ht="15" hidden="false" customHeight="false" outlineLevel="0" collapsed="false">
      <c r="A57" s="5" t="n">
        <v>46307</v>
      </c>
      <c r="B57" s="6" t="s">
        <v>29</v>
      </c>
      <c r="C57" s="6" t="s">
        <v>30</v>
      </c>
      <c r="D57" s="11" t="s">
        <v>24</v>
      </c>
      <c r="E57" s="6" t="s">
        <v>31</v>
      </c>
      <c r="F57" s="8" t="n">
        <v>4</v>
      </c>
      <c r="G57" s="6" t="s">
        <v>19</v>
      </c>
      <c r="H57" s="9" t="n">
        <v>3.2</v>
      </c>
      <c r="I57" s="9" t="n">
        <f aca="false">F57*H57</f>
        <v>12.8</v>
      </c>
      <c r="J57" s="8" t="n">
        <v>26</v>
      </c>
      <c r="K57" s="6" t="s">
        <v>26</v>
      </c>
      <c r="L57" s="10" t="s">
        <v>32</v>
      </c>
    </row>
    <row r="58" customFormat="false" ht="15" hidden="false" customHeight="false" outlineLevel="0" collapsed="false">
      <c r="A58" s="5" t="n">
        <v>46307.2083333333</v>
      </c>
      <c r="B58" s="6" t="s">
        <v>33</v>
      </c>
      <c r="C58" s="6" t="s">
        <v>34</v>
      </c>
      <c r="D58" s="7" t="s">
        <v>17</v>
      </c>
      <c r="E58" s="6" t="s">
        <v>35</v>
      </c>
      <c r="F58" s="12" t="n">
        <v>2.5</v>
      </c>
      <c r="G58" s="6" t="s">
        <v>36</v>
      </c>
      <c r="H58" s="9" t="n">
        <v>22</v>
      </c>
      <c r="I58" s="9" t="n">
        <f aca="false">F58*H58</f>
        <v>55</v>
      </c>
      <c r="J58" s="12" t="n">
        <v>27</v>
      </c>
      <c r="K58" s="6" t="s">
        <v>20</v>
      </c>
      <c r="L58" s="10" t="s">
        <v>58</v>
      </c>
    </row>
    <row r="59" customFormat="false" ht="15" hidden="false" customHeight="false" outlineLevel="0" collapsed="false">
      <c r="A59" s="5" t="n">
        <v>46307.4166666667</v>
      </c>
      <c r="B59" s="6" t="s">
        <v>38</v>
      </c>
      <c r="C59" s="6" t="s">
        <v>39</v>
      </c>
      <c r="D59" s="11" t="s">
        <v>24</v>
      </c>
      <c r="E59" s="6" t="s">
        <v>40</v>
      </c>
      <c r="F59" s="12" t="n">
        <v>2.5</v>
      </c>
      <c r="G59" s="6" t="s">
        <v>41</v>
      </c>
      <c r="H59" s="9" t="n">
        <v>2.3</v>
      </c>
      <c r="I59" s="9" t="n">
        <f aca="false">F59*H59</f>
        <v>5.75</v>
      </c>
      <c r="J59" s="12" t="n">
        <v>28</v>
      </c>
      <c r="K59" s="6" t="s">
        <v>26</v>
      </c>
      <c r="L59" s="10"/>
    </row>
    <row r="60" customFormat="false" ht="15" hidden="false" customHeight="false" outlineLevel="0" collapsed="false">
      <c r="A60" s="5" t="n">
        <v>46307.625</v>
      </c>
      <c r="B60" s="6" t="s">
        <v>42</v>
      </c>
      <c r="C60" s="6" t="s">
        <v>43</v>
      </c>
      <c r="D60" s="11" t="s">
        <v>24</v>
      </c>
      <c r="E60" s="6" t="s">
        <v>25</v>
      </c>
      <c r="F60" s="8" t="n">
        <v>1</v>
      </c>
      <c r="G60" s="6" t="s">
        <v>19</v>
      </c>
      <c r="H60" s="9" t="n">
        <v>24</v>
      </c>
      <c r="I60" s="9" t="n">
        <f aca="false">F60*H60</f>
        <v>24</v>
      </c>
      <c r="J60" s="8" t="n">
        <v>20</v>
      </c>
      <c r="K60" s="6" t="s">
        <v>20</v>
      </c>
      <c r="L60" s="10"/>
    </row>
    <row r="61" customFormat="false" ht="15" hidden="false" customHeight="false" outlineLevel="0" collapsed="false">
      <c r="A61" s="5" t="n">
        <v>46307.8333333333</v>
      </c>
      <c r="B61" s="6" t="s">
        <v>44</v>
      </c>
      <c r="C61" s="6" t="s">
        <v>45</v>
      </c>
      <c r="D61" s="11" t="s">
        <v>24</v>
      </c>
      <c r="E61" s="6" t="s">
        <v>25</v>
      </c>
      <c r="F61" s="8" t="n">
        <v>2</v>
      </c>
      <c r="G61" s="6" t="s">
        <v>19</v>
      </c>
      <c r="H61" s="9" t="n">
        <v>12.4</v>
      </c>
      <c r="I61" s="9" t="n">
        <f aca="false">F61*H61</f>
        <v>24.8</v>
      </c>
      <c r="J61" s="8" t="n">
        <v>21</v>
      </c>
      <c r="K61" s="6" t="s">
        <v>26</v>
      </c>
      <c r="L61" s="10"/>
    </row>
    <row r="62" customFormat="false" ht="15" hidden="false" customHeight="false" outlineLevel="0" collapsed="false">
      <c r="A62" s="5" t="n">
        <v>46308.0416666667</v>
      </c>
      <c r="B62" s="6" t="s">
        <v>15</v>
      </c>
      <c r="C62" s="6" t="s">
        <v>16</v>
      </c>
      <c r="D62" s="7" t="s">
        <v>17</v>
      </c>
      <c r="E62" s="6" t="s">
        <v>40</v>
      </c>
      <c r="F62" s="8" t="n">
        <v>3</v>
      </c>
      <c r="G62" s="6" t="s">
        <v>19</v>
      </c>
      <c r="H62" s="9" t="n">
        <v>18.5</v>
      </c>
      <c r="I62" s="9" t="n">
        <f aca="false">F62*H62</f>
        <v>55.5</v>
      </c>
      <c r="J62" s="8" t="n">
        <v>22</v>
      </c>
      <c r="K62" s="6" t="s">
        <v>20</v>
      </c>
      <c r="L62" s="10" t="s">
        <v>59</v>
      </c>
    </row>
    <row r="63" customFormat="false" ht="15" hidden="false" customHeight="false" outlineLevel="0" collapsed="false">
      <c r="A63" s="5" t="n">
        <v>46308.25</v>
      </c>
      <c r="B63" s="6" t="s">
        <v>22</v>
      </c>
      <c r="C63" s="6" t="s">
        <v>23</v>
      </c>
      <c r="D63" s="11" t="s">
        <v>24</v>
      </c>
      <c r="E63" s="6" t="s">
        <v>31</v>
      </c>
      <c r="F63" s="8" t="n">
        <v>4</v>
      </c>
      <c r="G63" s="6" t="s">
        <v>19</v>
      </c>
      <c r="H63" s="9" t="n">
        <v>4.1</v>
      </c>
      <c r="I63" s="9" t="n">
        <f aca="false">F63*H63</f>
        <v>16.4</v>
      </c>
      <c r="J63" s="8" t="n">
        <v>23</v>
      </c>
      <c r="K63" s="6" t="s">
        <v>26</v>
      </c>
      <c r="L63" s="10" t="s">
        <v>32</v>
      </c>
    </row>
    <row r="64" customFormat="false" ht="15" hidden="false" customHeight="false" outlineLevel="0" collapsed="false">
      <c r="A64" s="5" t="n">
        <v>46308.4583333333</v>
      </c>
      <c r="B64" s="6" t="s">
        <v>27</v>
      </c>
      <c r="C64" s="6" t="s">
        <v>28</v>
      </c>
      <c r="D64" s="11" t="s">
        <v>24</v>
      </c>
      <c r="E64" s="6" t="s">
        <v>47</v>
      </c>
      <c r="F64" s="8" t="n">
        <v>5</v>
      </c>
      <c r="G64" s="6" t="s">
        <v>19</v>
      </c>
      <c r="H64" s="9" t="n">
        <v>9.9</v>
      </c>
      <c r="I64" s="9" t="n">
        <f aca="false">F64*H64</f>
        <v>49.5</v>
      </c>
      <c r="J64" s="8" t="n">
        <v>24</v>
      </c>
      <c r="K64" s="6" t="s">
        <v>20</v>
      </c>
      <c r="L64" s="10"/>
    </row>
    <row r="65" customFormat="false" ht="15" hidden="false" customHeight="false" outlineLevel="0" collapsed="false">
      <c r="A65" s="5" t="n">
        <v>46308.6666666667</v>
      </c>
      <c r="B65" s="6" t="s">
        <v>29</v>
      </c>
      <c r="C65" s="6" t="s">
        <v>30</v>
      </c>
      <c r="D65" s="11" t="s">
        <v>24</v>
      </c>
      <c r="E65" s="6" t="s">
        <v>40</v>
      </c>
      <c r="F65" s="8" t="n">
        <v>6</v>
      </c>
      <c r="G65" s="6" t="s">
        <v>19</v>
      </c>
      <c r="H65" s="9" t="n">
        <v>3.2</v>
      </c>
      <c r="I65" s="9" t="n">
        <f aca="false">F65*H65</f>
        <v>19.2</v>
      </c>
      <c r="J65" s="8" t="n">
        <v>25</v>
      </c>
      <c r="K65" s="6" t="s">
        <v>26</v>
      </c>
      <c r="L65" s="10"/>
    </row>
    <row r="66" customFormat="false" ht="15" hidden="false" customHeight="false" outlineLevel="0" collapsed="false">
      <c r="A66" s="5" t="n">
        <v>46308.875</v>
      </c>
      <c r="B66" s="6" t="s">
        <v>33</v>
      </c>
      <c r="C66" s="6" t="s">
        <v>34</v>
      </c>
      <c r="D66" s="7" t="s">
        <v>17</v>
      </c>
      <c r="E66" s="6" t="s">
        <v>18</v>
      </c>
      <c r="F66" s="12" t="n">
        <v>2.5</v>
      </c>
      <c r="G66" s="6" t="s">
        <v>36</v>
      </c>
      <c r="H66" s="9" t="n">
        <v>22</v>
      </c>
      <c r="I66" s="9" t="n">
        <f aca="false">F66*H66</f>
        <v>55</v>
      </c>
      <c r="J66" s="12" t="n">
        <v>26</v>
      </c>
      <c r="K66" s="6" t="s">
        <v>20</v>
      </c>
      <c r="L66" s="10" t="s">
        <v>60</v>
      </c>
    </row>
    <row r="67" customFormat="false" ht="15" hidden="false" customHeight="false" outlineLevel="0" collapsed="false">
      <c r="A67" s="5" t="n">
        <v>46309.0833333333</v>
      </c>
      <c r="B67" s="6" t="s">
        <v>38</v>
      </c>
      <c r="C67" s="6" t="s">
        <v>39</v>
      </c>
      <c r="D67" s="11" t="s">
        <v>24</v>
      </c>
      <c r="E67" s="6" t="s">
        <v>25</v>
      </c>
      <c r="F67" s="12" t="n">
        <v>2.5</v>
      </c>
      <c r="G67" s="6" t="s">
        <v>41</v>
      </c>
      <c r="H67" s="9" t="n">
        <v>2.3</v>
      </c>
      <c r="I67" s="9" t="n">
        <f aca="false">F67*H67</f>
        <v>5.75</v>
      </c>
      <c r="J67" s="12" t="n">
        <v>27</v>
      </c>
      <c r="K67" s="6" t="s">
        <v>26</v>
      </c>
      <c r="L67" s="10"/>
    </row>
    <row r="68" customFormat="false" ht="15" hidden="false" customHeight="false" outlineLevel="0" collapsed="false">
      <c r="A68" s="5" t="n">
        <v>46309.2916666667</v>
      </c>
      <c r="B68" s="6" t="s">
        <v>42</v>
      </c>
      <c r="C68" s="6" t="s">
        <v>43</v>
      </c>
      <c r="D68" s="11" t="s">
        <v>24</v>
      </c>
      <c r="E68" s="6" t="s">
        <v>25</v>
      </c>
      <c r="F68" s="8" t="n">
        <v>3</v>
      </c>
      <c r="G68" s="6" t="s">
        <v>19</v>
      </c>
      <c r="H68" s="9" t="n">
        <v>24</v>
      </c>
      <c r="I68" s="9" t="n">
        <f aca="false">F68*H68</f>
        <v>72</v>
      </c>
      <c r="J68" s="8" t="n">
        <v>28</v>
      </c>
      <c r="K68" s="6" t="s">
        <v>20</v>
      </c>
      <c r="L68" s="10"/>
    </row>
    <row r="69" customFormat="false" ht="15" hidden="false" customHeight="false" outlineLevel="0" collapsed="false">
      <c r="A69" s="5" t="n">
        <v>46309.5</v>
      </c>
      <c r="B69" s="6" t="s">
        <v>44</v>
      </c>
      <c r="C69" s="6" t="s">
        <v>45</v>
      </c>
      <c r="D69" s="11" t="s">
        <v>24</v>
      </c>
      <c r="E69" s="6" t="s">
        <v>31</v>
      </c>
      <c r="F69" s="8" t="n">
        <v>4</v>
      </c>
      <c r="G69" s="6" t="s">
        <v>19</v>
      </c>
      <c r="H69" s="9" t="n">
        <v>12.4</v>
      </c>
      <c r="I69" s="9" t="n">
        <f aca="false">F69*H69</f>
        <v>49.6</v>
      </c>
      <c r="J69" s="8" t="n">
        <v>20</v>
      </c>
      <c r="K69" s="6" t="s">
        <v>26</v>
      </c>
      <c r="L69" s="10" t="s">
        <v>32</v>
      </c>
    </row>
    <row r="70" customFormat="false" ht="15" hidden="false" customHeight="false" outlineLevel="0" collapsed="false">
      <c r="A70" s="5" t="n">
        <v>46309.7083333333</v>
      </c>
      <c r="B70" s="6" t="s">
        <v>15</v>
      </c>
      <c r="C70" s="6" t="s">
        <v>16</v>
      </c>
      <c r="D70" s="7" t="s">
        <v>17</v>
      </c>
      <c r="E70" s="6" t="s">
        <v>35</v>
      </c>
      <c r="F70" s="8" t="n">
        <v>5</v>
      </c>
      <c r="G70" s="6" t="s">
        <v>19</v>
      </c>
      <c r="H70" s="9" t="n">
        <v>18.5</v>
      </c>
      <c r="I70" s="9" t="n">
        <f aca="false">F70*H70</f>
        <v>92.5</v>
      </c>
      <c r="J70" s="8" t="n">
        <v>21</v>
      </c>
      <c r="K70" s="6" t="s">
        <v>20</v>
      </c>
      <c r="L70" s="10" t="s">
        <v>61</v>
      </c>
    </row>
    <row r="71" customFormat="false" ht="15" hidden="false" customHeight="false" outlineLevel="0" collapsed="false">
      <c r="A71" s="5" t="n">
        <v>46309.9166666667</v>
      </c>
      <c r="B71" s="6" t="s">
        <v>22</v>
      </c>
      <c r="C71" s="6" t="s">
        <v>23</v>
      </c>
      <c r="D71" s="11" t="s">
        <v>24</v>
      </c>
      <c r="E71" s="6" t="s">
        <v>40</v>
      </c>
      <c r="F71" s="8" t="n">
        <v>6</v>
      </c>
      <c r="G71" s="6" t="s">
        <v>19</v>
      </c>
      <c r="H71" s="9" t="n">
        <v>4.1</v>
      </c>
      <c r="I71" s="9" t="n">
        <f aca="false">F71*H71</f>
        <v>24.6</v>
      </c>
      <c r="J71" s="8" t="n">
        <v>22</v>
      </c>
      <c r="K71" s="6" t="s">
        <v>26</v>
      </c>
      <c r="L71" s="10"/>
    </row>
    <row r="72" customFormat="false" ht="15" hidden="false" customHeight="false" outlineLevel="0" collapsed="false">
      <c r="A72" s="5" t="n">
        <v>46310.125</v>
      </c>
      <c r="B72" s="6" t="s">
        <v>27</v>
      </c>
      <c r="C72" s="6" t="s">
        <v>28</v>
      </c>
      <c r="D72" s="11" t="s">
        <v>24</v>
      </c>
      <c r="E72" s="6" t="s">
        <v>25</v>
      </c>
      <c r="F72" s="8" t="n">
        <v>1</v>
      </c>
      <c r="G72" s="6" t="s">
        <v>19</v>
      </c>
      <c r="H72" s="9" t="n">
        <v>9.9</v>
      </c>
      <c r="I72" s="9" t="n">
        <f aca="false">F72*H72</f>
        <v>9.9</v>
      </c>
      <c r="J72" s="8" t="n">
        <v>23</v>
      </c>
      <c r="K72" s="6" t="s">
        <v>20</v>
      </c>
      <c r="L72" s="10"/>
    </row>
    <row r="73" customFormat="false" ht="15" hidden="false" customHeight="false" outlineLevel="0" collapsed="false">
      <c r="A73" s="5" t="n">
        <v>46310.3333333333</v>
      </c>
      <c r="B73" s="6" t="s">
        <v>29</v>
      </c>
      <c r="C73" s="6" t="s">
        <v>30</v>
      </c>
      <c r="D73" s="11" t="s">
        <v>24</v>
      </c>
      <c r="E73" s="6" t="s">
        <v>25</v>
      </c>
      <c r="F73" s="8" t="n">
        <v>2</v>
      </c>
      <c r="G73" s="6" t="s">
        <v>19</v>
      </c>
      <c r="H73" s="9" t="n">
        <v>3.2</v>
      </c>
      <c r="I73" s="9" t="n">
        <f aca="false">F73*H73</f>
        <v>6.4</v>
      </c>
      <c r="J73" s="8" t="n">
        <v>24</v>
      </c>
      <c r="K73" s="6" t="s">
        <v>26</v>
      </c>
      <c r="L73" s="10"/>
    </row>
    <row r="74" customFormat="false" ht="15" hidden="false" customHeight="false" outlineLevel="0" collapsed="false">
      <c r="A74" s="5" t="n">
        <v>46310.5416666667</v>
      </c>
      <c r="B74" s="6" t="s">
        <v>33</v>
      </c>
      <c r="C74" s="6" t="s">
        <v>34</v>
      </c>
      <c r="D74" s="7" t="s">
        <v>17</v>
      </c>
      <c r="E74" s="6" t="s">
        <v>40</v>
      </c>
      <c r="F74" s="12" t="n">
        <v>2.5</v>
      </c>
      <c r="G74" s="6" t="s">
        <v>36</v>
      </c>
      <c r="H74" s="9" t="n">
        <v>22</v>
      </c>
      <c r="I74" s="9" t="n">
        <f aca="false">F74*H74</f>
        <v>55</v>
      </c>
      <c r="J74" s="12" t="n">
        <v>25</v>
      </c>
      <c r="K74" s="6" t="s">
        <v>20</v>
      </c>
      <c r="L74" s="10" t="s">
        <v>62</v>
      </c>
    </row>
    <row r="75" customFormat="false" ht="15" hidden="false" customHeight="false" outlineLevel="0" collapsed="false">
      <c r="A75" s="5" t="n">
        <v>46310.75</v>
      </c>
      <c r="B75" s="6" t="s">
        <v>38</v>
      </c>
      <c r="C75" s="6" t="s">
        <v>39</v>
      </c>
      <c r="D75" s="11" t="s">
        <v>24</v>
      </c>
      <c r="E75" s="6" t="s">
        <v>31</v>
      </c>
      <c r="F75" s="12" t="n">
        <v>2.5</v>
      </c>
      <c r="G75" s="6" t="s">
        <v>41</v>
      </c>
      <c r="H75" s="9" t="n">
        <v>2.3</v>
      </c>
      <c r="I75" s="9" t="n">
        <f aca="false">F75*H75</f>
        <v>5.75</v>
      </c>
      <c r="J75" s="12" t="n">
        <v>26</v>
      </c>
      <c r="K75" s="6" t="s">
        <v>26</v>
      </c>
      <c r="L75" s="10" t="s">
        <v>32</v>
      </c>
    </row>
    <row r="77" customFormat="false" ht="15" hidden="false" customHeight="false" outlineLevel="0" collapsed="false">
      <c r="H77" s="13" t="s">
        <v>63</v>
      </c>
      <c r="I77" s="14" t="n">
        <f aca="false">SUMIF(D6:D75,"Entrada",I6:I75)</f>
        <v>994.5</v>
      </c>
    </row>
    <row r="78" customFormat="false" ht="15" hidden="false" customHeight="false" outlineLevel="0" collapsed="false">
      <c r="H78" s="13" t="s">
        <v>64</v>
      </c>
      <c r="I78" s="14" t="n">
        <f aca="false">SUMIF(D6:D75,"Salida",I6:I75)</f>
        <v>1481.85</v>
      </c>
    </row>
  </sheetData>
  <autoFilter ref="A5:L7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6</v>
      </c>
      <c r="B5" s="4" t="s">
        <v>7</v>
      </c>
      <c r="C5" s="4" t="s">
        <v>66</v>
      </c>
      <c r="D5" s="4" t="s">
        <v>67</v>
      </c>
    </row>
    <row r="6" customFormat="false" ht="15" hidden="false" customHeight="false" outlineLevel="0" collapsed="false">
      <c r="A6" s="6" t="s">
        <v>17</v>
      </c>
      <c r="B6" s="6" t="s">
        <v>18</v>
      </c>
      <c r="C6" s="8" t="n">
        <f aca="false">COUNTIFS(Movimientos!$D$6:$D$75,"Entrada",Movimientos!$E$6:$E$75,"Compra")</f>
        <v>6</v>
      </c>
      <c r="D6" s="9" t="n">
        <f aca="false">SUMIFS(Movimientos!$I$6:$I$75,Movimientos!$D$6:$D$75,"Entrada",Movimientos!$E$6:$E$75,"Compra")</f>
        <v>220.5</v>
      </c>
    </row>
    <row r="7" customFormat="false" ht="15" hidden="false" customHeight="false" outlineLevel="0" collapsed="false">
      <c r="A7" s="6" t="s">
        <v>17</v>
      </c>
      <c r="B7" s="6" t="s">
        <v>35</v>
      </c>
      <c r="C7" s="8" t="n">
        <f aca="false">COUNTIFS(Movimientos!$D$6:$D$75,"Entrada",Movimientos!$E$6:$E$75,"Devolución de cliente")</f>
        <v>6</v>
      </c>
      <c r="D7" s="9" t="n">
        <f aca="false">SUMIFS(Movimientos!$I$6:$I$75,Movimientos!$D$6:$D$75,"Entrada",Movimientos!$E$6:$E$75,"Devolución de cliente")</f>
        <v>442.5</v>
      </c>
    </row>
    <row r="8" customFormat="false" ht="15" hidden="false" customHeight="false" outlineLevel="0" collapsed="false">
      <c r="A8" s="6" t="s">
        <v>17</v>
      </c>
      <c r="B8" s="6" t="s">
        <v>40</v>
      </c>
      <c r="C8" s="8" t="n">
        <f aca="false">COUNTIFS(Movimientos!$D$6:$D$75,"Entrada",Movimientos!$E$6:$E$75,"Ajuste de inventario")</f>
        <v>6</v>
      </c>
      <c r="D8" s="9" t="n">
        <f aca="false">SUMIFS(Movimientos!$I$6:$I$75,Movimientos!$D$6:$D$75,"Entrada",Movimientos!$E$6:$E$75,"Ajuste de inventario")</f>
        <v>331.5</v>
      </c>
    </row>
    <row r="9" customFormat="false" ht="15" hidden="false" customHeight="false" outlineLevel="0" collapsed="false">
      <c r="A9" s="6" t="s">
        <v>24</v>
      </c>
      <c r="B9" s="6" t="s">
        <v>25</v>
      </c>
      <c r="C9" s="8" t="n">
        <f aca="false">COUNTIFS(Movimientos!$D$6:$D$75,"Salida",Movimientos!$E$6:$E$75,"Venta")</f>
        <v>24</v>
      </c>
      <c r="D9" s="9" t="n">
        <f aca="false">SUMIFS(Movimientos!$I$6:$I$75,Movimientos!$D$6:$D$75,"Salida",Movimientos!$E$6:$E$75,"Venta")</f>
        <v>542.25</v>
      </c>
    </row>
    <row r="10" customFormat="false" ht="15" hidden="false" customHeight="false" outlineLevel="0" collapsed="false">
      <c r="A10" s="6" t="s">
        <v>24</v>
      </c>
      <c r="B10" s="6" t="s">
        <v>31</v>
      </c>
      <c r="C10" s="8" t="n">
        <f aca="false">COUNTIFS(Movimientos!$D$6:$D$75,"Salida",Movimientos!$E$6:$E$75,"Merma")</f>
        <v>12</v>
      </c>
      <c r="D10" s="9" t="n">
        <f aca="false">SUMIFS(Movimientos!$I$6:$I$75,Movimientos!$D$6:$D$75,"Salida",Movimientos!$E$6:$E$75,"Merma")</f>
        <v>253.65</v>
      </c>
    </row>
    <row r="11" customFormat="false" ht="15" hidden="false" customHeight="false" outlineLevel="0" collapsed="false">
      <c r="A11" s="6" t="s">
        <v>24</v>
      </c>
      <c r="B11" s="6" t="s">
        <v>47</v>
      </c>
      <c r="C11" s="8" t="n">
        <f aca="false">COUNTIFS(Movimientos!$D$6:$D$75,"Salida",Movimientos!$E$6:$E$75,"Devolución a proveedor")</f>
        <v>5</v>
      </c>
      <c r="D11" s="9" t="n">
        <f aca="false">SUMIFS(Movimientos!$I$6:$I$75,Movimientos!$D$6:$D$75,"Salida",Movimientos!$E$6:$E$75,"Devolución a proveedor")</f>
        <v>388.5</v>
      </c>
    </row>
    <row r="12" customFormat="false" ht="15" hidden="false" customHeight="false" outlineLevel="0" collapsed="false">
      <c r="A12" s="6" t="s">
        <v>24</v>
      </c>
      <c r="B12" s="6" t="s">
        <v>40</v>
      </c>
      <c r="C12" s="8" t="n">
        <f aca="false">COUNTIFS(Movimientos!$D$6:$D$75,"Salida",Movimientos!$E$6:$E$75,"Ajuste de inventario")</f>
        <v>11</v>
      </c>
      <c r="D12" s="9" t="n">
        <f aca="false">SUMIFS(Movimientos!$I$6:$I$75,Movimientos!$D$6:$D$75,"Salida",Movimientos!$E$6:$E$75,"Ajuste de inventario")</f>
        <v>297.45</v>
      </c>
    </row>
    <row r="13" customFormat="false" ht="15" hidden="false" customHeight="false" outlineLevel="0" collapsed="false">
      <c r="B13" s="15" t="s">
        <v>68</v>
      </c>
      <c r="C13" s="16" t="n">
        <f aca="false">SUM(C6:C12)</f>
        <v>70</v>
      </c>
      <c r="D13" s="14" t="n">
        <f aca="false">SUM(D6:D12)</f>
        <v>2476.35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2026-10-15T16:49:52Z</dcterms:created>
  <dc:creator>Bodega Don Lucho</dc:creator>
  <dc:description/>
  <dc:language>en-US</dc:language>
  <cp:lastModifiedBy/>
  <dcterms:modified xsi:type="dcterms:W3CDTF">2026-10-15T16:49:52Z</dcterms:modified>
  <cp:revision>0</cp:revision>
  <dc:subject/>
  <dc:title>Reporte de movimientos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