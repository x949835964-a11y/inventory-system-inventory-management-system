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ario" sheetId="1" state="visible" r:id="rId3"/>
  </sheets>
  <definedNames>
    <definedName function="false" hidden="false" localSheetId="0" name="_xlnm.Print_Titles" vbProcedure="false">Inventario!$5:$5</definedName>
    <definedName function="false" hidden="true" localSheetId="0" name="_xlnm._FilterDatabase" vbProcedure="false">Inventario!$A$5:$K$53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<sst xmlns="http://schemas.openxmlformats.org/spreadsheetml/2006/main" count="234" uniqueCount="44">
  <si>
    <t xml:space="preserve">Reporte de inventario actual</t>
  </si>
  <si>
    <t xml:space="preserve">Bodega Don Lucho</t>
  </si>
  <si>
    <t xml:space="preserve">Generado el 15/10/2026 11:50 · Todos los productos activos</t>
  </si>
  <si>
    <t xml:space="preserve">SKU</t>
  </si>
  <si>
    <t xml:space="preserve">Producto</t>
  </si>
  <si>
    <t xml:space="preserve">Categoría</t>
  </si>
  <si>
    <t xml:space="preserve">Proveedor</t>
  </si>
  <si>
    <t xml:space="preserve">Unidad</t>
  </si>
  <si>
    <t xml:space="preserve">Stock</t>
  </si>
  <si>
    <t xml:space="preserve">Stock mínimo</t>
  </si>
  <si>
    <t xml:space="preserve">Precio compra (S/)</t>
  </si>
  <si>
    <t xml:space="preserve">Precio venta (S/)</t>
  </si>
  <si>
    <t xml:space="preserve">Valor en stock (S/)</t>
  </si>
  <si>
    <t xml:space="preserve">Estado</t>
  </si>
  <si>
    <t xml:space="preserve">ARR-5KG</t>
  </si>
  <si>
    <t xml:space="preserve">Arroz extra Costeño 5 kg</t>
  </si>
  <si>
    <t xml:space="preserve">Abarrotes</t>
  </si>
  <si>
    <t xml:space="preserve">Distribuidora Lima SAC</t>
  </si>
  <si>
    <t xml:space="preserve">UND</t>
  </si>
  <si>
    <t xml:space="preserve">AZU-1KG</t>
  </si>
  <si>
    <t xml:space="preserve">Azúcar rubia 1 kg</t>
  </si>
  <si>
    <t xml:space="preserve">ACE-1L</t>
  </si>
  <si>
    <t xml:space="preserve">Aceite vegetal Primor 1 L</t>
  </si>
  <si>
    <t xml:space="preserve">LEC-400</t>
  </si>
  <si>
    <t xml:space="preserve">Leche evaporada Gloria 400 g &amp; lata &lt;grande&gt;</t>
  </si>
  <si>
    <t xml:space="preserve">Lácteos</t>
  </si>
  <si>
    <t xml:space="preserve">Gloria SA</t>
  </si>
  <si>
    <t xml:space="preserve">QUE-FRE</t>
  </si>
  <si>
    <t xml:space="preserve">Queso fresco</t>
  </si>
  <si>
    <t xml:space="preserve">KG</t>
  </si>
  <si>
    <t xml:space="preserve">CAB-14</t>
  </si>
  <si>
    <t xml:space="preserve">Cable mellizo N.º 14</t>
  </si>
  <si>
    <t xml:space="preserve">Ferretería</t>
  </si>
  <si>
    <t xml:space="preserve">Ferretería El Tornillo EIRL</t>
  </si>
  <si>
    <t xml:space="preserve">M</t>
  </si>
  <si>
    <t xml:space="preserve">MAR-16</t>
  </si>
  <si>
    <t xml:space="preserve">Martillo de uña 16 oz mango de fibra de vidrio antivibración</t>
  </si>
  <si>
    <t xml:space="preserve">DET-1KG</t>
  </si>
  <si>
    <t xml:space="preserve">Detergente Ariel 1 kg</t>
  </si>
  <si>
    <t xml:space="preserve">Limpieza</t>
  </si>
  <si>
    <t xml:space="preserve">Productos</t>
  </si>
  <si>
    <t xml:space="preserve">Productos en alerta</t>
  </si>
  <si>
    <t xml:space="preserve">Productos agotados</t>
  </si>
  <si>
    <t xml:space="preserve">Valor total del inventario (S/)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</si>
</sst>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&quot;S/ &quot;#,##0.00"/>
    <numFmt numFmtId="167" formatCode="#,##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374151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2937"/>
          <bgColor rgb="FF000000"/>
        </patternFill>
      </fill>
    </dxf>
    <dxf>
      <fill>
        <patternFill patternType="solid">
          <fgColor rgb="FFFDE2E1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DE2E1"/>
        </patternFill>
      </fill>
    </dxf>
    <dxf>
      <fill>
        <patternFill>
          <bgColor rgb="FFFEF3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E2E1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6"/>
    <col collapsed="false" customWidth="true" hidden="false" outlineLevel="0" max="11" min="11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</row>
    <row r="6" customFormat="false" ht="15" hidden="false" customHeight="false" outlineLevel="0" collapsed="false">
      <c r="A6" s="5" t="s">
        <v>14</v>
      </c>
      <c r="B6" s="5" t="s">
        <v>15</v>
      </c>
      <c r="C6" s="5" t="s">
        <v>16</v>
      </c>
      <c r="D6" s="5" t="s">
        <v>17</v>
      </c>
      <c r="E6" s="5" t="s">
        <v>18</v>
      </c>
      <c r="F6" s="6" t="n">
        <v>48</v>
      </c>
      <c r="G6" s="6" t="n">
        <v>10</v>
      </c>
      <c r="H6" s="7" t="n">
        <v>18.5</v>
      </c>
      <c r="I6" s="7" t="n">
        <v>22.9</v>
      </c>
      <c r="J6" s="7" t="n">
        <f aca="false">F6*H6</f>
        <v>888</v>
      </c>
      <c r="K6" s="8" t="str">
        <f aca="false">IF(F6&lt;=0,"Agotado",IF(F6&lt;=G6,"Stock bajo","Disponible"))</f>
        <v>Disponible</v>
      </c>
    </row>
    <row r="7" customFormat="false" ht="15" hidden="false" customHeight="false" outlineLevel="0" collapsed="false">
      <c r="A7" s="5" t="s">
        <v>19</v>
      </c>
      <c r="B7" s="5" t="s">
        <v>20</v>
      </c>
      <c r="C7" s="5" t="s">
        <v>16</v>
      </c>
      <c r="D7" s="5" t="s">
        <v>17</v>
      </c>
      <c r="E7" s="5" t="s">
        <v>18</v>
      </c>
      <c r="F7" s="6" t="n">
        <v>6</v>
      </c>
      <c r="G7" s="6" t="n">
        <v>12</v>
      </c>
      <c r="H7" s="7" t="n">
        <v>4.1</v>
      </c>
      <c r="I7" s="7" t="n">
        <v>5.2</v>
      </c>
      <c r="J7" s="7" t="n">
        <f aca="false">F7*H7</f>
        <v>24.6</v>
      </c>
      <c r="K7" s="8" t="str">
        <f aca="false">IF(F7&lt;=0,"Agotado",IF(F7&lt;=G7,"Stock bajo","Disponible"))</f>
        <v>Stock bajo</v>
      </c>
    </row>
    <row r="8" customFormat="false" ht="15" hidden="false" customHeight="false" outlineLevel="0" collapsed="false">
      <c r="A8" s="5" t="s">
        <v>21</v>
      </c>
      <c r="B8" s="5" t="s">
        <v>22</v>
      </c>
      <c r="C8" s="5" t="s">
        <v>16</v>
      </c>
      <c r="D8" s="5"/>
      <c r="E8" s="5" t="s">
        <v>18</v>
      </c>
      <c r="F8" s="6" t="n">
        <v>0</v>
      </c>
      <c r="G8" s="6" t="n">
        <v>8</v>
      </c>
      <c r="H8" s="7" t="n">
        <v>9.9</v>
      </c>
      <c r="I8" s="7" t="n">
        <v>11.5</v>
      </c>
      <c r="J8" s="7" t="n">
        <f aca="false">F8*H8</f>
        <v>0</v>
      </c>
      <c r="K8" s="8" t="str">
        <f aca="false">IF(F8&lt;=0,"Agotado",IF(F8&lt;=G8,"Stock bajo","Disponible"))</f>
        <v>Agotado</v>
      </c>
    </row>
    <row r="9" customFormat="false" ht="15" hidden="false" customHeight="false" outlineLevel="0" collapsed="false">
      <c r="A9" s="5" t="s">
        <v>23</v>
      </c>
      <c r="B9" s="5" t="s">
        <v>24</v>
      </c>
      <c r="C9" s="5" t="s">
        <v>25</v>
      </c>
      <c r="D9" s="5" t="s">
        <v>26</v>
      </c>
      <c r="E9" s="5" t="s">
        <v>18</v>
      </c>
      <c r="F9" s="6" t="n">
        <v>120</v>
      </c>
      <c r="G9" s="6" t="n">
        <v>24</v>
      </c>
      <c r="H9" s="7" t="n">
        <v>3.2</v>
      </c>
      <c r="I9" s="7" t="n">
        <v>3.8</v>
      </c>
      <c r="J9" s="7" t="n">
        <f aca="false">F9*H9</f>
        <v>384</v>
      </c>
      <c r="K9" s="8" t="str">
        <f aca="false">IF(F9&lt;=0,"Agotado",IF(F9&lt;=G9,"Stock bajo","Disponible"))</f>
        <v>Disponible</v>
      </c>
    </row>
    <row r="10" customFormat="false" ht="15" hidden="false" customHeight="false" outlineLevel="0" collapsed="false">
      <c r="A10" s="5" t="s">
        <v>27</v>
      </c>
      <c r="B10" s="5" t="s">
        <v>28</v>
      </c>
      <c r="C10" s="5" t="s">
        <v>25</v>
      </c>
      <c r="D10" s="5"/>
      <c r="E10" s="5" t="s">
        <v>29</v>
      </c>
      <c r="F10" s="9" t="n">
        <v>2.75</v>
      </c>
      <c r="G10" s="9" t="n">
        <v>3</v>
      </c>
      <c r="H10" s="7" t="n">
        <v>22</v>
      </c>
      <c r="I10" s="7" t="n">
        <v>28</v>
      </c>
      <c r="J10" s="7" t="n">
        <f aca="false">F10*H10</f>
        <v>60.5</v>
      </c>
      <c r="K10" s="8" t="str">
        <f aca="false">IF(F10&lt;=0,"Agotado",IF(F10&lt;=G10,"Stock bajo","Disponible"))</f>
        <v>Stock bajo</v>
      </c>
    </row>
    <row r="11" customFormat="false" ht="15" hidden="false" customHeight="false" outlineLevel="0" collapsed="false">
      <c r="A11" s="5" t="s">
        <v>30</v>
      </c>
      <c r="B11" s="5" t="s">
        <v>31</v>
      </c>
      <c r="C11" s="5" t="s">
        <v>32</v>
      </c>
      <c r="D11" s="5" t="s">
        <v>33</v>
      </c>
      <c r="E11" s="5" t="s">
        <v>34</v>
      </c>
      <c r="F11" s="9" t="n">
        <v>185.5</v>
      </c>
      <c r="G11" s="9" t="n">
        <v>50</v>
      </c>
      <c r="H11" s="7" t="n">
        <v>2.3</v>
      </c>
      <c r="I11" s="7" t="n">
        <v>3.5</v>
      </c>
      <c r="J11" s="7" t="n">
        <f aca="false">F11*H11</f>
        <v>426.65</v>
      </c>
      <c r="K11" s="8" t="str">
        <f aca="false">IF(F11&lt;=0,"Agotado",IF(F11&lt;=G11,"Stock bajo","Disponible"))</f>
        <v>Disponible</v>
      </c>
    </row>
    <row r="12" customFormat="false" ht="15" hidden="false" customHeight="false" outlineLevel="0" collapsed="false">
      <c r="A12" s="5" t="s">
        <v>35</v>
      </c>
      <c r="B12" s="5" t="s">
        <v>36</v>
      </c>
      <c r="C12" s="5" t="s">
        <v>32</v>
      </c>
      <c r="D12" s="5"/>
      <c r="E12" s="5" t="s">
        <v>18</v>
      </c>
      <c r="F12" s="6" t="n">
        <v>7</v>
      </c>
      <c r="G12" s="6" t="n">
        <v>3</v>
      </c>
      <c r="H12" s="7" t="n">
        <v>24</v>
      </c>
      <c r="I12" s="7" t="n">
        <v>35</v>
      </c>
      <c r="J12" s="7" t="n">
        <f aca="false">F12*H12</f>
        <v>168</v>
      </c>
      <c r="K12" s="8" t="str">
        <f aca="false">IF(F12&lt;=0,"Agotado",IF(F12&lt;=G12,"Stock bajo","Disponible"))</f>
        <v>Disponible</v>
      </c>
    </row>
    <row r="13" customFormat="false" ht="15" hidden="false" customHeight="false" outlineLevel="0" collapsed="false">
      <c r="A13" s="5" t="s">
        <v>37</v>
      </c>
      <c r="B13" s="5" t="s">
        <v>38</v>
      </c>
      <c r="C13" s="5" t="s">
        <v>39</v>
      </c>
      <c r="D13" s="5"/>
      <c r="E13" s="5" t="s">
        <v>18</v>
      </c>
      <c r="F13" s="6" t="n">
        <v>15</v>
      </c>
      <c r="G13" s="6" t="n">
        <v>15</v>
      </c>
      <c r="H13" s="7" t="n">
        <v>12.4</v>
      </c>
      <c r="I13" s="7" t="n">
        <v>15.9</v>
      </c>
      <c r="J13" s="7" t="n">
        <f aca="false">F13*H13</f>
        <v>186</v>
      </c>
      <c r="K13" s="8" t="str">
        <f aca="false">IF(F13&lt;=0,"Agotado",IF(F13&lt;=G13,"Stock bajo","Disponible"))</f>
        <v>Stock bajo</v>
      </c>
    </row>
    <row r="14" customFormat="false" ht="15" hidden="false" customHeight="false" outlineLevel="0" collapsed="false">
      <c r="A14" s="5" t="s">
        <v>14</v>
      </c>
      <c r="B14" s="5" t="s">
        <v>15</v>
      </c>
      <c r="C14" s="5" t="s">
        <v>16</v>
      </c>
      <c r="D14" s="5" t="s">
        <v>17</v>
      </c>
      <c r="E14" s="5" t="s">
        <v>18</v>
      </c>
      <c r="F14" s="6" t="n">
        <v>48</v>
      </c>
      <c r="G14" s="6" t="n">
        <v>10</v>
      </c>
      <c r="H14" s="7" t="n">
        <v>18.5</v>
      </c>
      <c r="I14" s="7" t="n">
        <v>22.9</v>
      </c>
      <c r="J14" s="7" t="n">
        <f aca="false">F14*H14</f>
        <v>888</v>
      </c>
      <c r="K14" s="8" t="str">
        <f aca="false">IF(F14&lt;=0,"Agotado",IF(F14&lt;=G14,"Stock bajo","Disponible"))</f>
        <v>Disponible</v>
      </c>
    </row>
    <row r="15" customFormat="false" ht="15" hidden="false" customHeight="false" outlineLevel="0" collapsed="false">
      <c r="A15" s="5" t="s">
        <v>19</v>
      </c>
      <c r="B15" s="5" t="s">
        <v>20</v>
      </c>
      <c r="C15" s="5" t="s">
        <v>16</v>
      </c>
      <c r="D15" s="5" t="s">
        <v>17</v>
      </c>
      <c r="E15" s="5" t="s">
        <v>18</v>
      </c>
      <c r="F15" s="6" t="n">
        <v>6</v>
      </c>
      <c r="G15" s="6" t="n">
        <v>12</v>
      </c>
      <c r="H15" s="7" t="n">
        <v>4.1</v>
      </c>
      <c r="I15" s="7" t="n">
        <v>5.2</v>
      </c>
      <c r="J15" s="7" t="n">
        <f aca="false">F15*H15</f>
        <v>24.6</v>
      </c>
      <c r="K15" s="8" t="str">
        <f aca="false">IF(F15&lt;=0,"Agotado",IF(F15&lt;=G15,"Stock bajo","Disponible"))</f>
        <v>Stock bajo</v>
      </c>
    </row>
    <row r="16" customFormat="false" ht="15" hidden="false" customHeight="false" outlineLevel="0" collapsed="false">
      <c r="A16" s="5" t="s">
        <v>21</v>
      </c>
      <c r="B16" s="5" t="s">
        <v>22</v>
      </c>
      <c r="C16" s="5" t="s">
        <v>16</v>
      </c>
      <c r="D16" s="5"/>
      <c r="E16" s="5" t="s">
        <v>18</v>
      </c>
      <c r="F16" s="6" t="n">
        <v>0</v>
      </c>
      <c r="G16" s="6" t="n">
        <v>8</v>
      </c>
      <c r="H16" s="7" t="n">
        <v>9.9</v>
      </c>
      <c r="I16" s="7" t="n">
        <v>11.5</v>
      </c>
      <c r="J16" s="7" t="n">
        <f aca="false">F16*H16</f>
        <v>0</v>
      </c>
      <c r="K16" s="8" t="str">
        <f aca="false">IF(F16&lt;=0,"Agotado",IF(F16&lt;=G16,"Stock bajo","Disponible"))</f>
        <v>Agotado</v>
      </c>
    </row>
    <row r="17" customFormat="false" ht="15" hidden="false" customHeight="false" outlineLevel="0" collapsed="false">
      <c r="A17" s="5" t="s">
        <v>23</v>
      </c>
      <c r="B17" s="5" t="s">
        <v>24</v>
      </c>
      <c r="C17" s="5" t="s">
        <v>25</v>
      </c>
      <c r="D17" s="5" t="s">
        <v>26</v>
      </c>
      <c r="E17" s="5" t="s">
        <v>18</v>
      </c>
      <c r="F17" s="6" t="n">
        <v>120</v>
      </c>
      <c r="G17" s="6" t="n">
        <v>24</v>
      </c>
      <c r="H17" s="7" t="n">
        <v>3.2</v>
      </c>
      <c r="I17" s="7" t="n">
        <v>3.8</v>
      </c>
      <c r="J17" s="7" t="n">
        <f aca="false">F17*H17</f>
        <v>384</v>
      </c>
      <c r="K17" s="8" t="str">
        <f aca="false">IF(F17&lt;=0,"Agotado",IF(F17&lt;=G17,"Stock bajo","Disponible"))</f>
        <v>Disponible</v>
      </c>
    </row>
    <row r="18" customFormat="false" ht="15" hidden="false" customHeight="false" outlineLevel="0" collapsed="false">
      <c r="A18" s="5" t="s">
        <v>27</v>
      </c>
      <c r="B18" s="5" t="s">
        <v>28</v>
      </c>
      <c r="C18" s="5" t="s">
        <v>25</v>
      </c>
      <c r="D18" s="5"/>
      <c r="E18" s="5" t="s">
        <v>29</v>
      </c>
      <c r="F18" s="9" t="n">
        <v>2.75</v>
      </c>
      <c r="G18" s="9" t="n">
        <v>3</v>
      </c>
      <c r="H18" s="7" t="n">
        <v>22</v>
      </c>
      <c r="I18" s="7" t="n">
        <v>28</v>
      </c>
      <c r="J18" s="7" t="n">
        <f aca="false">F18*H18</f>
        <v>60.5</v>
      </c>
      <c r="K18" s="8" t="str">
        <f aca="false">IF(F18&lt;=0,"Agotado",IF(F18&lt;=G18,"Stock bajo","Disponible"))</f>
        <v>Stock bajo</v>
      </c>
    </row>
    <row r="19" customFormat="false" ht="15" hidden="false" customHeight="false" outlineLevel="0" collapsed="false">
      <c r="A19" s="5" t="s">
        <v>30</v>
      </c>
      <c r="B19" s="5" t="s">
        <v>31</v>
      </c>
      <c r="C19" s="5" t="s">
        <v>32</v>
      </c>
      <c r="D19" s="5" t="s">
        <v>33</v>
      </c>
      <c r="E19" s="5" t="s">
        <v>34</v>
      </c>
      <c r="F19" s="9" t="n">
        <v>185.5</v>
      </c>
      <c r="G19" s="9" t="n">
        <v>50</v>
      </c>
      <c r="H19" s="7" t="n">
        <v>2.3</v>
      </c>
      <c r="I19" s="7" t="n">
        <v>3.5</v>
      </c>
      <c r="J19" s="7" t="n">
        <f aca="false">F19*H19</f>
        <v>426.65</v>
      </c>
      <c r="K19" s="8" t="str">
        <f aca="false">IF(F19&lt;=0,"Agotado",IF(F19&lt;=G19,"Stock bajo","Disponible"))</f>
        <v>Disponible</v>
      </c>
    </row>
    <row r="20" customFormat="false" ht="15" hidden="false" customHeight="false" outlineLevel="0" collapsed="false">
      <c r="A20" s="5" t="s">
        <v>35</v>
      </c>
      <c r="B20" s="5" t="s">
        <v>36</v>
      </c>
      <c r="C20" s="5" t="s">
        <v>32</v>
      </c>
      <c r="D20" s="5"/>
      <c r="E20" s="5" t="s">
        <v>18</v>
      </c>
      <c r="F20" s="6" t="n">
        <v>7</v>
      </c>
      <c r="G20" s="6" t="n">
        <v>3</v>
      </c>
      <c r="H20" s="7" t="n">
        <v>24</v>
      </c>
      <c r="I20" s="7" t="n">
        <v>35</v>
      </c>
      <c r="J20" s="7" t="n">
        <f aca="false">F20*H20</f>
        <v>168</v>
      </c>
      <c r="K20" s="8" t="str">
        <f aca="false">IF(F20&lt;=0,"Agotado",IF(F20&lt;=G20,"Stock bajo","Disponible"))</f>
        <v>Disponible</v>
      </c>
    </row>
    <row r="21" customFormat="false" ht="15" hidden="false" customHeight="false" outlineLevel="0" collapsed="false">
      <c r="A21" s="5" t="s">
        <v>37</v>
      </c>
      <c r="B21" s="5" t="s">
        <v>38</v>
      </c>
      <c r="C21" s="5" t="s">
        <v>39</v>
      </c>
      <c r="D21" s="5"/>
      <c r="E21" s="5" t="s">
        <v>18</v>
      </c>
      <c r="F21" s="6" t="n">
        <v>15</v>
      </c>
      <c r="G21" s="6" t="n">
        <v>15</v>
      </c>
      <c r="H21" s="7" t="n">
        <v>12.4</v>
      </c>
      <c r="I21" s="7" t="n">
        <v>15.9</v>
      </c>
      <c r="J21" s="7" t="n">
        <f aca="false">F21*H21</f>
        <v>186</v>
      </c>
      <c r="K21" s="8" t="str">
        <f aca="false">IF(F21&lt;=0,"Agotado",IF(F21&lt;=G21,"Stock bajo","Disponible"))</f>
        <v>Stock bajo</v>
      </c>
    </row>
    <row r="22" customFormat="false" ht="15" hidden="false" customHeight="false" outlineLevel="0" collapsed="false">
      <c r="A22" s="5" t="s">
        <v>14</v>
      </c>
      <c r="B22" s="5" t="s">
        <v>15</v>
      </c>
      <c r="C22" s="5" t="s">
        <v>16</v>
      </c>
      <c r="D22" s="5" t="s">
        <v>17</v>
      </c>
      <c r="E22" s="5" t="s">
        <v>18</v>
      </c>
      <c r="F22" s="6" t="n">
        <v>48</v>
      </c>
      <c r="G22" s="6" t="n">
        <v>10</v>
      </c>
      <c r="H22" s="7" t="n">
        <v>18.5</v>
      </c>
      <c r="I22" s="7" t="n">
        <v>22.9</v>
      </c>
      <c r="J22" s="7" t="n">
        <f aca="false">F22*H22</f>
        <v>888</v>
      </c>
      <c r="K22" s="8" t="str">
        <f aca="false">IF(F22&lt;=0,"Agotado",IF(F22&lt;=G22,"Stock bajo","Disponible"))</f>
        <v>Disponible</v>
      </c>
    </row>
    <row r="23" customFormat="false" ht="15" hidden="false" customHeight="false" outlineLevel="0" collapsed="false">
      <c r="A23" s="5" t="s">
        <v>19</v>
      </c>
      <c r="B23" s="5" t="s">
        <v>20</v>
      </c>
      <c r="C23" s="5" t="s">
        <v>16</v>
      </c>
      <c r="D23" s="5" t="s">
        <v>17</v>
      </c>
      <c r="E23" s="5" t="s">
        <v>18</v>
      </c>
      <c r="F23" s="6" t="n">
        <v>6</v>
      </c>
      <c r="G23" s="6" t="n">
        <v>12</v>
      </c>
      <c r="H23" s="7" t="n">
        <v>4.1</v>
      </c>
      <c r="I23" s="7" t="n">
        <v>5.2</v>
      </c>
      <c r="J23" s="7" t="n">
        <f aca="false">F23*H23</f>
        <v>24.6</v>
      </c>
      <c r="K23" s="8" t="str">
        <f aca="false">IF(F23&lt;=0,"Agotado",IF(F23&lt;=G23,"Stock bajo","Disponible"))</f>
        <v>Stock bajo</v>
      </c>
    </row>
    <row r="24" customFormat="false" ht="15" hidden="false" customHeight="false" outlineLevel="0" collapsed="false">
      <c r="A24" s="5" t="s">
        <v>21</v>
      </c>
      <c r="B24" s="5" t="s">
        <v>22</v>
      </c>
      <c r="C24" s="5" t="s">
        <v>16</v>
      </c>
      <c r="D24" s="5"/>
      <c r="E24" s="5" t="s">
        <v>18</v>
      </c>
      <c r="F24" s="6" t="n">
        <v>0</v>
      </c>
      <c r="G24" s="6" t="n">
        <v>8</v>
      </c>
      <c r="H24" s="7" t="n">
        <v>9.9</v>
      </c>
      <c r="I24" s="7" t="n">
        <v>11.5</v>
      </c>
      <c r="J24" s="7" t="n">
        <f aca="false">F24*H24</f>
        <v>0</v>
      </c>
      <c r="K24" s="8" t="str">
        <f aca="false">IF(F24&lt;=0,"Agotado",IF(F24&lt;=G24,"Stock bajo","Disponible"))</f>
        <v>Agotado</v>
      </c>
    </row>
    <row r="25" customFormat="false" ht="15" hidden="false" customHeight="false" outlineLevel="0" collapsed="false">
      <c r="A25" s="5" t="s">
        <v>23</v>
      </c>
      <c r="B25" s="5" t="s">
        <v>24</v>
      </c>
      <c r="C25" s="5" t="s">
        <v>25</v>
      </c>
      <c r="D25" s="5" t="s">
        <v>26</v>
      </c>
      <c r="E25" s="5" t="s">
        <v>18</v>
      </c>
      <c r="F25" s="6" t="n">
        <v>120</v>
      </c>
      <c r="G25" s="6" t="n">
        <v>24</v>
      </c>
      <c r="H25" s="7" t="n">
        <v>3.2</v>
      </c>
      <c r="I25" s="7" t="n">
        <v>3.8</v>
      </c>
      <c r="J25" s="7" t="n">
        <f aca="false">F25*H25</f>
        <v>384</v>
      </c>
      <c r="K25" s="8" t="str">
        <f aca="false">IF(F25&lt;=0,"Agotado",IF(F25&lt;=G25,"Stock bajo","Disponible"))</f>
        <v>Disponible</v>
      </c>
    </row>
    <row r="26" customFormat="false" ht="15" hidden="false" customHeight="false" outlineLevel="0" collapsed="false">
      <c r="A26" s="5" t="s">
        <v>27</v>
      </c>
      <c r="B26" s="5" t="s">
        <v>28</v>
      </c>
      <c r="C26" s="5" t="s">
        <v>25</v>
      </c>
      <c r="D26" s="5"/>
      <c r="E26" s="5" t="s">
        <v>29</v>
      </c>
      <c r="F26" s="9" t="n">
        <v>2.75</v>
      </c>
      <c r="G26" s="9" t="n">
        <v>3</v>
      </c>
      <c r="H26" s="7" t="n">
        <v>22</v>
      </c>
      <c r="I26" s="7" t="n">
        <v>28</v>
      </c>
      <c r="J26" s="7" t="n">
        <f aca="false">F26*H26</f>
        <v>60.5</v>
      </c>
      <c r="K26" s="8" t="str">
        <f aca="false">IF(F26&lt;=0,"Agotado",IF(F26&lt;=G26,"Stock bajo","Disponible"))</f>
        <v>Stock bajo</v>
      </c>
    </row>
    <row r="27" customFormat="false" ht="15" hidden="false" customHeight="false" outlineLevel="0" collapsed="false">
      <c r="A27" s="5" t="s">
        <v>30</v>
      </c>
      <c r="B27" s="5" t="s">
        <v>31</v>
      </c>
      <c r="C27" s="5" t="s">
        <v>32</v>
      </c>
      <c r="D27" s="5" t="s">
        <v>33</v>
      </c>
      <c r="E27" s="5" t="s">
        <v>34</v>
      </c>
      <c r="F27" s="9" t="n">
        <v>185.5</v>
      </c>
      <c r="G27" s="9" t="n">
        <v>50</v>
      </c>
      <c r="H27" s="7" t="n">
        <v>2.3</v>
      </c>
      <c r="I27" s="7" t="n">
        <v>3.5</v>
      </c>
      <c r="J27" s="7" t="n">
        <f aca="false">F27*H27</f>
        <v>426.65</v>
      </c>
      <c r="K27" s="8" t="str">
        <f aca="false">IF(F27&lt;=0,"Agotado",IF(F27&lt;=G27,"Stock bajo","Disponible"))</f>
        <v>Disponible</v>
      </c>
    </row>
    <row r="28" customFormat="false" ht="15" hidden="false" customHeight="false" outlineLevel="0" collapsed="false">
      <c r="A28" s="5" t="s">
        <v>35</v>
      </c>
      <c r="B28" s="5" t="s">
        <v>36</v>
      </c>
      <c r="C28" s="5" t="s">
        <v>32</v>
      </c>
      <c r="D28" s="5"/>
      <c r="E28" s="5" t="s">
        <v>18</v>
      </c>
      <c r="F28" s="6" t="n">
        <v>7</v>
      </c>
      <c r="G28" s="6" t="n">
        <v>3</v>
      </c>
      <c r="H28" s="7" t="n">
        <v>24</v>
      </c>
      <c r="I28" s="7" t="n">
        <v>35</v>
      </c>
      <c r="J28" s="7" t="n">
        <f aca="false">F28*H28</f>
        <v>168</v>
      </c>
      <c r="K28" s="8" t="str">
        <f aca="false">IF(F28&lt;=0,"Agotado",IF(F28&lt;=G28,"Stock bajo","Disponible"))</f>
        <v>Disponible</v>
      </c>
    </row>
    <row r="29" customFormat="false" ht="15" hidden="false" customHeight="false" outlineLevel="0" collapsed="false">
      <c r="A29" s="5" t="s">
        <v>37</v>
      </c>
      <c r="B29" s="5" t="s">
        <v>38</v>
      </c>
      <c r="C29" s="5" t="s">
        <v>39</v>
      </c>
      <c r="D29" s="5"/>
      <c r="E29" s="5" t="s">
        <v>18</v>
      </c>
      <c r="F29" s="6" t="n">
        <v>15</v>
      </c>
      <c r="G29" s="6" t="n">
        <v>15</v>
      </c>
      <c r="H29" s="7" t="n">
        <v>12.4</v>
      </c>
      <c r="I29" s="7" t="n">
        <v>15.9</v>
      </c>
      <c r="J29" s="7" t="n">
        <f aca="false">F29*H29</f>
        <v>186</v>
      </c>
      <c r="K29" s="8" t="str">
        <f aca="false">IF(F29&lt;=0,"Agotado",IF(F29&lt;=G29,"Stock bajo","Disponible"))</f>
        <v>Stock bajo</v>
      </c>
    </row>
    <row r="30" customFormat="false" ht="15" hidden="false" customHeight="false" outlineLevel="0" collapsed="false">
      <c r="A30" s="5" t="s">
        <v>14</v>
      </c>
      <c r="B30" s="5" t="s">
        <v>15</v>
      </c>
      <c r="C30" s="5" t="s">
        <v>16</v>
      </c>
      <c r="D30" s="5" t="s">
        <v>17</v>
      </c>
      <c r="E30" s="5" t="s">
        <v>18</v>
      </c>
      <c r="F30" s="6" t="n">
        <v>48</v>
      </c>
      <c r="G30" s="6" t="n">
        <v>10</v>
      </c>
      <c r="H30" s="7" t="n">
        <v>18.5</v>
      </c>
      <c r="I30" s="7" t="n">
        <v>22.9</v>
      </c>
      <c r="J30" s="7" t="n">
        <f aca="false">F30*H30</f>
        <v>888</v>
      </c>
      <c r="K30" s="8" t="str">
        <f aca="false">IF(F30&lt;=0,"Agotado",IF(F30&lt;=G30,"Stock bajo","Disponible"))</f>
        <v>Disponible</v>
      </c>
    </row>
    <row r="31" customFormat="false" ht="15" hidden="false" customHeight="false" outlineLevel="0" collapsed="false">
      <c r="A31" s="5" t="s">
        <v>19</v>
      </c>
      <c r="B31" s="5" t="s">
        <v>20</v>
      </c>
      <c r="C31" s="5" t="s">
        <v>16</v>
      </c>
      <c r="D31" s="5" t="s">
        <v>17</v>
      </c>
      <c r="E31" s="5" t="s">
        <v>18</v>
      </c>
      <c r="F31" s="6" t="n">
        <v>6</v>
      </c>
      <c r="G31" s="6" t="n">
        <v>12</v>
      </c>
      <c r="H31" s="7" t="n">
        <v>4.1</v>
      </c>
      <c r="I31" s="7" t="n">
        <v>5.2</v>
      </c>
      <c r="J31" s="7" t="n">
        <f aca="false">F31*H31</f>
        <v>24.6</v>
      </c>
      <c r="K31" s="8" t="str">
        <f aca="false">IF(F31&lt;=0,"Agotado",IF(F31&lt;=G31,"Stock bajo","Disponible"))</f>
        <v>Stock bajo</v>
      </c>
    </row>
    <row r="32" customFormat="false" ht="15" hidden="false" customHeight="false" outlineLevel="0" collapsed="false">
      <c r="A32" s="5" t="s">
        <v>21</v>
      </c>
      <c r="B32" s="5" t="s">
        <v>22</v>
      </c>
      <c r="C32" s="5" t="s">
        <v>16</v>
      </c>
      <c r="D32" s="5"/>
      <c r="E32" s="5" t="s">
        <v>18</v>
      </c>
      <c r="F32" s="6" t="n">
        <v>0</v>
      </c>
      <c r="G32" s="6" t="n">
        <v>8</v>
      </c>
      <c r="H32" s="7" t="n">
        <v>9.9</v>
      </c>
      <c r="I32" s="7" t="n">
        <v>11.5</v>
      </c>
      <c r="J32" s="7" t="n">
        <f aca="false">F32*H32</f>
        <v>0</v>
      </c>
      <c r="K32" s="8" t="str">
        <f aca="false">IF(F32&lt;=0,"Agotado",IF(F32&lt;=G32,"Stock bajo","Disponible"))</f>
        <v>Agotado</v>
      </c>
    </row>
    <row r="33" customFormat="false" ht="15" hidden="false" customHeight="false" outlineLevel="0" collapsed="false">
      <c r="A33" s="5" t="s">
        <v>23</v>
      </c>
      <c r="B33" s="5" t="s">
        <v>24</v>
      </c>
      <c r="C33" s="5" t="s">
        <v>25</v>
      </c>
      <c r="D33" s="5" t="s">
        <v>26</v>
      </c>
      <c r="E33" s="5" t="s">
        <v>18</v>
      </c>
      <c r="F33" s="6" t="n">
        <v>120</v>
      </c>
      <c r="G33" s="6" t="n">
        <v>24</v>
      </c>
      <c r="H33" s="7" t="n">
        <v>3.2</v>
      </c>
      <c r="I33" s="7" t="n">
        <v>3.8</v>
      </c>
      <c r="J33" s="7" t="n">
        <f aca="false">F33*H33</f>
        <v>384</v>
      </c>
      <c r="K33" s="8" t="str">
        <f aca="false">IF(F33&lt;=0,"Agotado",IF(F33&lt;=G33,"Stock bajo","Disponible"))</f>
        <v>Disponible</v>
      </c>
    </row>
    <row r="34" customFormat="false" ht="15" hidden="false" customHeight="false" outlineLevel="0" collapsed="false">
      <c r="A34" s="5" t="s">
        <v>27</v>
      </c>
      <c r="B34" s="5" t="s">
        <v>28</v>
      </c>
      <c r="C34" s="5" t="s">
        <v>25</v>
      </c>
      <c r="D34" s="5"/>
      <c r="E34" s="5" t="s">
        <v>29</v>
      </c>
      <c r="F34" s="9" t="n">
        <v>2.75</v>
      </c>
      <c r="G34" s="9" t="n">
        <v>3</v>
      </c>
      <c r="H34" s="7" t="n">
        <v>22</v>
      </c>
      <c r="I34" s="7" t="n">
        <v>28</v>
      </c>
      <c r="J34" s="7" t="n">
        <f aca="false">F34*H34</f>
        <v>60.5</v>
      </c>
      <c r="K34" s="8" t="str">
        <f aca="false">IF(F34&lt;=0,"Agotado",IF(F34&lt;=G34,"Stock bajo","Disponible"))</f>
        <v>Stock bajo</v>
      </c>
    </row>
    <row r="35" customFormat="false" ht="15" hidden="false" customHeight="false" outlineLevel="0" collapsed="false">
      <c r="A35" s="5" t="s">
        <v>30</v>
      </c>
      <c r="B35" s="5" t="s">
        <v>31</v>
      </c>
      <c r="C35" s="5" t="s">
        <v>32</v>
      </c>
      <c r="D35" s="5" t="s">
        <v>33</v>
      </c>
      <c r="E35" s="5" t="s">
        <v>34</v>
      </c>
      <c r="F35" s="9" t="n">
        <v>185.5</v>
      </c>
      <c r="G35" s="9" t="n">
        <v>50</v>
      </c>
      <c r="H35" s="7" t="n">
        <v>2.3</v>
      </c>
      <c r="I35" s="7" t="n">
        <v>3.5</v>
      </c>
      <c r="J35" s="7" t="n">
        <f aca="false">F35*H35</f>
        <v>426.65</v>
      </c>
      <c r="K35" s="8" t="str">
        <f aca="false">IF(F35&lt;=0,"Agotado",IF(F35&lt;=G35,"Stock bajo","Disponible"))</f>
        <v>Disponible</v>
      </c>
    </row>
    <row r="36" customFormat="false" ht="15" hidden="false" customHeight="false" outlineLevel="0" collapsed="false">
      <c r="A36" s="5" t="s">
        <v>35</v>
      </c>
      <c r="B36" s="5" t="s">
        <v>36</v>
      </c>
      <c r="C36" s="5" t="s">
        <v>32</v>
      </c>
      <c r="D36" s="5"/>
      <c r="E36" s="5" t="s">
        <v>18</v>
      </c>
      <c r="F36" s="6" t="n">
        <v>7</v>
      </c>
      <c r="G36" s="6" t="n">
        <v>3</v>
      </c>
      <c r="H36" s="7" t="n">
        <v>24</v>
      </c>
      <c r="I36" s="7" t="n">
        <v>35</v>
      </c>
      <c r="J36" s="7" t="n">
        <f aca="false">F36*H36</f>
        <v>168</v>
      </c>
      <c r="K36" s="8" t="str">
        <f aca="false">IF(F36&lt;=0,"Agotado",IF(F36&lt;=G36,"Stock bajo","Disponible"))</f>
        <v>Disponible</v>
      </c>
    </row>
    <row r="37" customFormat="false" ht="15" hidden="false" customHeight="false" outlineLevel="0" collapsed="false">
      <c r="A37" s="5" t="s">
        <v>37</v>
      </c>
      <c r="B37" s="5" t="s">
        <v>38</v>
      </c>
      <c r="C37" s="5" t="s">
        <v>39</v>
      </c>
      <c r="D37" s="5"/>
      <c r="E37" s="5" t="s">
        <v>18</v>
      </c>
      <c r="F37" s="6" t="n">
        <v>15</v>
      </c>
      <c r="G37" s="6" t="n">
        <v>15</v>
      </c>
      <c r="H37" s="7" t="n">
        <v>12.4</v>
      </c>
      <c r="I37" s="7" t="n">
        <v>15.9</v>
      </c>
      <c r="J37" s="7" t="n">
        <f aca="false">F37*H37</f>
        <v>186</v>
      </c>
      <c r="K37" s="8" t="str">
        <f aca="false">IF(F37&lt;=0,"Agotado",IF(F37&lt;=G37,"Stock bajo","Disponible"))</f>
        <v>Stock bajo</v>
      </c>
    </row>
    <row r="38" customFormat="false" ht="15" hidden="false" customHeight="false" outlineLevel="0" collapsed="false">
      <c r="A38" s="5" t="s">
        <v>14</v>
      </c>
      <c r="B38" s="5" t="s">
        <v>15</v>
      </c>
      <c r="C38" s="5" t="s">
        <v>16</v>
      </c>
      <c r="D38" s="5" t="s">
        <v>17</v>
      </c>
      <c r="E38" s="5" t="s">
        <v>18</v>
      </c>
      <c r="F38" s="6" t="n">
        <v>48</v>
      </c>
      <c r="G38" s="6" t="n">
        <v>10</v>
      </c>
      <c r="H38" s="7" t="n">
        <v>18.5</v>
      </c>
      <c r="I38" s="7" t="n">
        <v>22.9</v>
      </c>
      <c r="J38" s="7" t="n">
        <f aca="false">F38*H38</f>
        <v>888</v>
      </c>
      <c r="K38" s="8" t="str">
        <f aca="false">IF(F38&lt;=0,"Agotado",IF(F38&lt;=G38,"Stock bajo","Disponible"))</f>
        <v>Disponible</v>
      </c>
    </row>
    <row r="39" customFormat="false" ht="15" hidden="false" customHeight="false" outlineLevel="0" collapsed="false">
      <c r="A39" s="5" t="s">
        <v>19</v>
      </c>
      <c r="B39" s="5" t="s">
        <v>20</v>
      </c>
      <c r="C39" s="5" t="s">
        <v>16</v>
      </c>
      <c r="D39" s="5" t="s">
        <v>17</v>
      </c>
      <c r="E39" s="5" t="s">
        <v>18</v>
      </c>
      <c r="F39" s="6" t="n">
        <v>6</v>
      </c>
      <c r="G39" s="6" t="n">
        <v>12</v>
      </c>
      <c r="H39" s="7" t="n">
        <v>4.1</v>
      </c>
      <c r="I39" s="7" t="n">
        <v>5.2</v>
      </c>
      <c r="J39" s="7" t="n">
        <f aca="false">F39*H39</f>
        <v>24.6</v>
      </c>
      <c r="K39" s="8" t="str">
        <f aca="false">IF(F39&lt;=0,"Agotado",IF(F39&lt;=G39,"Stock bajo","Disponible"))</f>
        <v>Stock bajo</v>
      </c>
    </row>
    <row r="40" customFormat="false" ht="15" hidden="false" customHeight="false" outlineLevel="0" collapsed="false">
      <c r="A40" s="5" t="s">
        <v>21</v>
      </c>
      <c r="B40" s="5" t="s">
        <v>22</v>
      </c>
      <c r="C40" s="5" t="s">
        <v>16</v>
      </c>
      <c r="D40" s="5"/>
      <c r="E40" s="5" t="s">
        <v>18</v>
      </c>
      <c r="F40" s="6" t="n">
        <v>0</v>
      </c>
      <c r="G40" s="6" t="n">
        <v>8</v>
      </c>
      <c r="H40" s="7" t="n">
        <v>9.9</v>
      </c>
      <c r="I40" s="7" t="n">
        <v>11.5</v>
      </c>
      <c r="J40" s="7" t="n">
        <f aca="false">F40*H40</f>
        <v>0</v>
      </c>
      <c r="K40" s="8" t="str">
        <f aca="false">IF(F40&lt;=0,"Agotado",IF(F40&lt;=G40,"Stock bajo","Disponible"))</f>
        <v>Agotado</v>
      </c>
    </row>
    <row r="41" customFormat="false" ht="15" hidden="false" customHeight="false" outlineLevel="0" collapsed="false">
      <c r="A41" s="5" t="s">
        <v>23</v>
      </c>
      <c r="B41" s="5" t="s">
        <v>24</v>
      </c>
      <c r="C41" s="5" t="s">
        <v>25</v>
      </c>
      <c r="D41" s="5" t="s">
        <v>26</v>
      </c>
      <c r="E41" s="5" t="s">
        <v>18</v>
      </c>
      <c r="F41" s="6" t="n">
        <v>120</v>
      </c>
      <c r="G41" s="6" t="n">
        <v>24</v>
      </c>
      <c r="H41" s="7" t="n">
        <v>3.2</v>
      </c>
      <c r="I41" s="7" t="n">
        <v>3.8</v>
      </c>
      <c r="J41" s="7" t="n">
        <f aca="false">F41*H41</f>
        <v>384</v>
      </c>
      <c r="K41" s="8" t="str">
        <f aca="false">IF(F41&lt;=0,"Agotado",IF(F41&lt;=G41,"Stock bajo","Disponible"))</f>
        <v>Disponible</v>
      </c>
    </row>
    <row r="42" customFormat="false" ht="15" hidden="false" customHeight="false" outlineLevel="0" collapsed="false">
      <c r="A42" s="5" t="s">
        <v>27</v>
      </c>
      <c r="B42" s="5" t="s">
        <v>28</v>
      </c>
      <c r="C42" s="5" t="s">
        <v>25</v>
      </c>
      <c r="D42" s="5"/>
      <c r="E42" s="5" t="s">
        <v>29</v>
      </c>
      <c r="F42" s="9" t="n">
        <v>2.75</v>
      </c>
      <c r="G42" s="9" t="n">
        <v>3</v>
      </c>
      <c r="H42" s="7" t="n">
        <v>22</v>
      </c>
      <c r="I42" s="7" t="n">
        <v>28</v>
      </c>
      <c r="J42" s="7" t="n">
        <f aca="false">F42*H42</f>
        <v>60.5</v>
      </c>
      <c r="K42" s="8" t="str">
        <f aca="false">IF(F42&lt;=0,"Agotado",IF(F42&lt;=G42,"Stock bajo","Disponible"))</f>
        <v>Stock bajo</v>
      </c>
    </row>
    <row r="43" customFormat="false" ht="15" hidden="false" customHeight="false" outlineLevel="0" collapsed="false">
      <c r="A43" s="5" t="s">
        <v>30</v>
      </c>
      <c r="B43" s="5" t="s">
        <v>31</v>
      </c>
      <c r="C43" s="5" t="s">
        <v>32</v>
      </c>
      <c r="D43" s="5" t="s">
        <v>33</v>
      </c>
      <c r="E43" s="5" t="s">
        <v>34</v>
      </c>
      <c r="F43" s="9" t="n">
        <v>185.5</v>
      </c>
      <c r="G43" s="9" t="n">
        <v>50</v>
      </c>
      <c r="H43" s="7" t="n">
        <v>2.3</v>
      </c>
      <c r="I43" s="7" t="n">
        <v>3.5</v>
      </c>
      <c r="J43" s="7" t="n">
        <f aca="false">F43*H43</f>
        <v>426.65</v>
      </c>
      <c r="K43" s="8" t="str">
        <f aca="false">IF(F43&lt;=0,"Agotado",IF(F43&lt;=G43,"Stock bajo","Disponible"))</f>
        <v>Disponible</v>
      </c>
    </row>
    <row r="44" customFormat="false" ht="15" hidden="false" customHeight="false" outlineLevel="0" collapsed="false">
      <c r="A44" s="5" t="s">
        <v>35</v>
      </c>
      <c r="B44" s="5" t="s">
        <v>36</v>
      </c>
      <c r="C44" s="5" t="s">
        <v>32</v>
      </c>
      <c r="D44" s="5"/>
      <c r="E44" s="5" t="s">
        <v>18</v>
      </c>
      <c r="F44" s="6" t="n">
        <v>7</v>
      </c>
      <c r="G44" s="6" t="n">
        <v>3</v>
      </c>
      <c r="H44" s="7" t="n">
        <v>24</v>
      </c>
      <c r="I44" s="7" t="n">
        <v>35</v>
      </c>
      <c r="J44" s="7" t="n">
        <f aca="false">F44*H44</f>
        <v>168</v>
      </c>
      <c r="K44" s="8" t="str">
        <f aca="false">IF(F44&lt;=0,"Agotado",IF(F44&lt;=G44,"Stock bajo","Disponible"))</f>
        <v>Disponible</v>
      </c>
    </row>
    <row r="45" customFormat="false" ht="15" hidden="false" customHeight="false" outlineLevel="0" collapsed="false">
      <c r="A45" s="5" t="s">
        <v>37</v>
      </c>
      <c r="B45" s="5" t="s">
        <v>38</v>
      </c>
      <c r="C45" s="5" t="s">
        <v>39</v>
      </c>
      <c r="D45" s="5"/>
      <c r="E45" s="5" t="s">
        <v>18</v>
      </c>
      <c r="F45" s="6" t="n">
        <v>15</v>
      </c>
      <c r="G45" s="6" t="n">
        <v>15</v>
      </c>
      <c r="H45" s="7" t="n">
        <v>12.4</v>
      </c>
      <c r="I45" s="7" t="n">
        <v>15.9</v>
      </c>
      <c r="J45" s="7" t="n">
        <f aca="false">F45*H45</f>
        <v>186</v>
      </c>
      <c r="K45" s="8" t="str">
        <f aca="false">IF(F45&lt;=0,"Agotado",IF(F45&lt;=G45,"Stock bajo","Disponible"))</f>
        <v>Stock bajo</v>
      </c>
    </row>
    <row r="46" customFormat="false" ht="15" hidden="false" customHeight="false" outlineLevel="0" collapsed="false">
      <c r="A46" s="5" t="s">
        <v>14</v>
      </c>
      <c r="B46" s="5" t="s">
        <v>15</v>
      </c>
      <c r="C46" s="5" t="s">
        <v>16</v>
      </c>
      <c r="D46" s="5" t="s">
        <v>17</v>
      </c>
      <c r="E46" s="5" t="s">
        <v>18</v>
      </c>
      <c r="F46" s="6" t="n">
        <v>48</v>
      </c>
      <c r="G46" s="6" t="n">
        <v>10</v>
      </c>
      <c r="H46" s="7" t="n">
        <v>18.5</v>
      </c>
      <c r="I46" s="7" t="n">
        <v>22.9</v>
      </c>
      <c r="J46" s="7" t="n">
        <f aca="false">F46*H46</f>
        <v>888</v>
      </c>
      <c r="K46" s="8" t="str">
        <f aca="false">IF(F46&lt;=0,"Agotado",IF(F46&lt;=G46,"Stock bajo","Disponible"))</f>
        <v>Disponible</v>
      </c>
    </row>
    <row r="47" customFormat="false" ht="15" hidden="false" customHeight="false" outlineLevel="0" collapsed="false">
      <c r="A47" s="5" t="s">
        <v>19</v>
      </c>
      <c r="B47" s="5" t="s">
        <v>20</v>
      </c>
      <c r="C47" s="5" t="s">
        <v>16</v>
      </c>
      <c r="D47" s="5" t="s">
        <v>17</v>
      </c>
      <c r="E47" s="5" t="s">
        <v>18</v>
      </c>
      <c r="F47" s="6" t="n">
        <v>6</v>
      </c>
      <c r="G47" s="6" t="n">
        <v>12</v>
      </c>
      <c r="H47" s="7" t="n">
        <v>4.1</v>
      </c>
      <c r="I47" s="7" t="n">
        <v>5.2</v>
      </c>
      <c r="J47" s="7" t="n">
        <f aca="false">F47*H47</f>
        <v>24.6</v>
      </c>
      <c r="K47" s="8" t="str">
        <f aca="false">IF(F47&lt;=0,"Agotado",IF(F47&lt;=G47,"Stock bajo","Disponible"))</f>
        <v>Stock bajo</v>
      </c>
    </row>
    <row r="48" customFormat="false" ht="15" hidden="false" customHeight="false" outlineLevel="0" collapsed="false">
      <c r="A48" s="5" t="s">
        <v>21</v>
      </c>
      <c r="B48" s="5" t="s">
        <v>22</v>
      </c>
      <c r="C48" s="5" t="s">
        <v>16</v>
      </c>
      <c r="D48" s="5"/>
      <c r="E48" s="5" t="s">
        <v>18</v>
      </c>
      <c r="F48" s="6" t="n">
        <v>0</v>
      </c>
      <c r="G48" s="6" t="n">
        <v>8</v>
      </c>
      <c r="H48" s="7" t="n">
        <v>9.9</v>
      </c>
      <c r="I48" s="7" t="n">
        <v>11.5</v>
      </c>
      <c r="J48" s="7" t="n">
        <f aca="false">F48*H48</f>
        <v>0</v>
      </c>
      <c r="K48" s="8" t="str">
        <f aca="false">IF(F48&lt;=0,"Agotado",IF(F48&lt;=G48,"Stock bajo","Disponible"))</f>
        <v>Agotado</v>
      </c>
    </row>
    <row r="49" customFormat="false" ht="15" hidden="false" customHeight="false" outlineLevel="0" collapsed="false">
      <c r="A49" s="5" t="s">
        <v>23</v>
      </c>
      <c r="B49" s="5" t="s">
        <v>24</v>
      </c>
      <c r="C49" s="5" t="s">
        <v>25</v>
      </c>
      <c r="D49" s="5" t="s">
        <v>26</v>
      </c>
      <c r="E49" s="5" t="s">
        <v>18</v>
      </c>
      <c r="F49" s="6" t="n">
        <v>120</v>
      </c>
      <c r="G49" s="6" t="n">
        <v>24</v>
      </c>
      <c r="H49" s="7" t="n">
        <v>3.2</v>
      </c>
      <c r="I49" s="7" t="n">
        <v>3.8</v>
      </c>
      <c r="J49" s="7" t="n">
        <f aca="false">F49*H49</f>
        <v>384</v>
      </c>
      <c r="K49" s="8" t="str">
        <f aca="false">IF(F49&lt;=0,"Agotado",IF(F49&lt;=G49,"Stock bajo","Disponible"))</f>
        <v>Disponible</v>
      </c>
    </row>
    <row r="50" customFormat="false" ht="15" hidden="false" customHeight="false" outlineLevel="0" collapsed="false">
      <c r="A50" s="5" t="s">
        <v>27</v>
      </c>
      <c r="B50" s="5" t="s">
        <v>28</v>
      </c>
      <c r="C50" s="5" t="s">
        <v>25</v>
      </c>
      <c r="D50" s="5"/>
      <c r="E50" s="5" t="s">
        <v>29</v>
      </c>
      <c r="F50" s="9" t="n">
        <v>2.75</v>
      </c>
      <c r="G50" s="9" t="n">
        <v>3</v>
      </c>
      <c r="H50" s="7" t="n">
        <v>22</v>
      </c>
      <c r="I50" s="7" t="n">
        <v>28</v>
      </c>
      <c r="J50" s="7" t="n">
        <f aca="false">F50*H50</f>
        <v>60.5</v>
      </c>
      <c r="K50" s="8" t="str">
        <f aca="false">IF(F50&lt;=0,"Agotado",IF(F50&lt;=G50,"Stock bajo","Disponible"))</f>
        <v>Stock bajo</v>
      </c>
    </row>
    <row r="51" customFormat="false" ht="15" hidden="false" customHeight="false" outlineLevel="0" collapsed="false">
      <c r="A51" s="5" t="s">
        <v>30</v>
      </c>
      <c r="B51" s="5" t="s">
        <v>31</v>
      </c>
      <c r="C51" s="5" t="s">
        <v>32</v>
      </c>
      <c r="D51" s="5" t="s">
        <v>33</v>
      </c>
      <c r="E51" s="5" t="s">
        <v>34</v>
      </c>
      <c r="F51" s="9" t="n">
        <v>185.5</v>
      </c>
      <c r="G51" s="9" t="n">
        <v>50</v>
      </c>
      <c r="H51" s="7" t="n">
        <v>2.3</v>
      </c>
      <c r="I51" s="7" t="n">
        <v>3.5</v>
      </c>
      <c r="J51" s="7" t="n">
        <f aca="false">F51*H51</f>
        <v>426.65</v>
      </c>
      <c r="K51" s="8" t="str">
        <f aca="false">IF(F51&lt;=0,"Agotado",IF(F51&lt;=G51,"Stock bajo","Disponible"))</f>
        <v>Disponible</v>
      </c>
    </row>
    <row r="52" customFormat="false" ht="15" hidden="false" customHeight="false" outlineLevel="0" collapsed="false">
      <c r="A52" s="5" t="s">
        <v>35</v>
      </c>
      <c r="B52" s="5" t="s">
        <v>36</v>
      </c>
      <c r="C52" s="5" t="s">
        <v>32</v>
      </c>
      <c r="D52" s="5"/>
      <c r="E52" s="5" t="s">
        <v>18</v>
      </c>
      <c r="F52" s="6" t="n">
        <v>7</v>
      </c>
      <c r="G52" s="6" t="n">
        <v>3</v>
      </c>
      <c r="H52" s="7" t="n">
        <v>24</v>
      </c>
      <c r="I52" s="7" t="n">
        <v>35</v>
      </c>
      <c r="J52" s="7" t="n">
        <f aca="false">F52*H52</f>
        <v>168</v>
      </c>
      <c r="K52" s="8" t="str">
        <f aca="false">IF(F52&lt;=0,"Agotado",IF(F52&lt;=G52,"Stock bajo","Disponible"))</f>
        <v>Disponible</v>
      </c>
    </row>
    <row r="53" customFormat="false" ht="15" hidden="false" customHeight="false" outlineLevel="0" collapsed="false">
      <c r="A53" s="5" t="s">
        <v>37</v>
      </c>
      <c r="B53" s="5" t="s">
        <v>38</v>
      </c>
      <c r="C53" s="5" t="s">
        <v>39</v>
      </c>
      <c r="D53" s="5"/>
      <c r="E53" s="5" t="s">
        <v>18</v>
      </c>
      <c r="F53" s="6" t="n">
        <v>15</v>
      </c>
      <c r="G53" s="6" t="n">
        <v>15</v>
      </c>
      <c r="H53" s="7" t="n">
        <v>12.4</v>
      </c>
      <c r="I53" s="7" t="n">
        <v>15.9</v>
      </c>
      <c r="J53" s="7" t="n">
        <f aca="false">F53*H53</f>
        <v>186</v>
      </c>
      <c r="K53" s="8" t="str">
        <f aca="false">IF(F53&lt;=0,"Agotado",IF(F53&lt;=G53,"Stock bajo","Disponible"))</f>
        <v>Stock bajo</v>
      </c>
    </row>
    <row r="55" customFormat="false" ht="15" hidden="false" customHeight="false" outlineLevel="0" collapsed="false">
      <c r="I55" s="10" t="s">
        <v>40</v>
      </c>
      <c r="J55" s="11" t="n">
        <f aca="false">COUNTA(A6:A53)</f>
        <v>48</v>
      </c>
    </row>
    <row r="56" customFormat="false" ht="15" hidden="false" customHeight="false" outlineLevel="0" collapsed="false">
      <c r="I56" s="10" t="s">
        <v>41</v>
      </c>
      <c r="J56" s="11" t="n">
        <f aca="false">COUNTIF(K6:K53,"Stock bajo")+COUNTIF(K6:K53,"Agotado")</f>
        <v>24</v>
      </c>
    </row>
    <row r="57" customFormat="false" ht="15" hidden="false" customHeight="false" outlineLevel="0" collapsed="false">
      <c r="I57" s="10" t="s">
        <v>42</v>
      </c>
      <c r="J57" s="11" t="n">
        <f aca="false">COUNTIF(K6:K53,"Agotado")</f>
        <v>6</v>
      </c>
    </row>
    <row r="58" customFormat="false" ht="15" hidden="false" customHeight="false" outlineLevel="0" collapsed="false">
      <c r="I58" s="10" t="s">
        <v>43</v>
      </c>
      <c r="J58" s="12" t="n">
        <f aca="false">SUM(J6:J53)</f>
        <v>12826.5</v>
      </c>
    </row>
  </sheetData>
  <autoFilter ref="A5:K53"/>
  <conditionalFormatting sqref="A6:K53">
    <cfRule type="expression" priority="2" aboveAverage="0" equalAverage="0" bottom="0" percent="0" rank="0" text="" dxfId="5">
      <formula>$K6="Agotado"</formula>
    </cfRule>
    <cfRule type="expression" priority="3" aboveAverage="0" equalAverage="0" bottom="0" percent="0" rank="0" text="" dxfId="6">
      <formula>$K6="Stock bajo"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2026-10-15T16:49:52Z</dcterms:created>
  <dc:creator>Bodega Don Lucho</dc:creator>
  <dc:description/>
  <dc:language>en-US</dc:language>
  <cp:lastModifiedBy/>
  <dcterms:modified xsi:type="dcterms:W3CDTF">2026-10-15T16:49:52Z</dcterms:modified>
  <cp:revision>0</cp:revision>
  <dc:subject/>
  <dc:title>Reporte de inventario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